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yh\agent\agent-frame\aiStoryRoom\docs\manage\"/>
    </mc:Choice>
  </mc:AlternateContent>
  <xr:revisionPtr revIDLastSave="0" documentId="13_ncr:1_{8C9607B8-7156-40C3-8976-2FF43F11E1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总览" sheetId="1" r:id="rId1"/>
    <sheet name="7天任务" sheetId="2" r:id="rId2"/>
    <sheet name="账号与外部依赖" sheetId="3" r:id="rId3"/>
    <sheet name="上线验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2" l="1"/>
  <c r="C56" i="2"/>
  <c r="L56" i="2" s="1"/>
  <c r="I55" i="2"/>
  <c r="C55" i="2"/>
  <c r="L55" i="2" s="1"/>
  <c r="I54" i="2"/>
  <c r="C54" i="2"/>
  <c r="L54" i="2" s="1"/>
  <c r="I53" i="2"/>
  <c r="C53" i="2"/>
  <c r="L53" i="2" s="1"/>
  <c r="I52" i="2"/>
  <c r="C52" i="2"/>
  <c r="L52" i="2" s="1"/>
  <c r="I51" i="2"/>
  <c r="M20" i="1" s="1"/>
  <c r="C51" i="2"/>
  <c r="L51" i="2" s="1"/>
  <c r="I50" i="2"/>
  <c r="C50" i="2"/>
  <c r="L50" i="2" s="1"/>
  <c r="I49" i="2"/>
  <c r="C49" i="2"/>
  <c r="L49" i="2" s="1"/>
  <c r="L48" i="2"/>
  <c r="I48" i="2"/>
  <c r="M19" i="1" s="1"/>
  <c r="C48" i="2"/>
  <c r="I47" i="2"/>
  <c r="C47" i="2"/>
  <c r="L47" i="2" s="1"/>
  <c r="I46" i="2"/>
  <c r="C46" i="2"/>
  <c r="L46" i="2" s="1"/>
  <c r="I45" i="2"/>
  <c r="C45" i="2"/>
  <c r="L45" i="2" s="1"/>
  <c r="I44" i="2"/>
  <c r="C44" i="2"/>
  <c r="L44" i="2" s="1"/>
  <c r="I43" i="2"/>
  <c r="C43" i="2"/>
  <c r="L43" i="2" s="1"/>
  <c r="I42" i="2"/>
  <c r="C42" i="2"/>
  <c r="L42" i="2" s="1"/>
  <c r="I41" i="2"/>
  <c r="C41" i="2"/>
  <c r="L41" i="2" s="1"/>
  <c r="I40" i="2"/>
  <c r="C40" i="2"/>
  <c r="L40" i="2" s="1"/>
  <c r="I39" i="2"/>
  <c r="M17" i="1" s="1"/>
  <c r="C39" i="2"/>
  <c r="L39" i="2" s="1"/>
  <c r="I38" i="2"/>
  <c r="C38" i="2"/>
  <c r="L38" i="2" s="1"/>
  <c r="I37" i="2"/>
  <c r="C37" i="2"/>
  <c r="L37" i="2" s="1"/>
  <c r="I36" i="2"/>
  <c r="C36" i="2"/>
  <c r="L36" i="2" s="1"/>
  <c r="I35" i="2"/>
  <c r="C35" i="2"/>
  <c r="L35" i="2" s="1"/>
  <c r="I34" i="2"/>
  <c r="C34" i="2"/>
  <c r="L34" i="2" s="1"/>
  <c r="I33" i="2"/>
  <c r="M16" i="1" s="1"/>
  <c r="C33" i="2"/>
  <c r="L33" i="2" s="1"/>
  <c r="I32" i="2"/>
  <c r="C32" i="2"/>
  <c r="L32" i="2" s="1"/>
  <c r="I31" i="2"/>
  <c r="C31" i="2"/>
  <c r="L31" i="2" s="1"/>
  <c r="I30" i="2"/>
  <c r="C30" i="2"/>
  <c r="L30" i="2" s="1"/>
  <c r="I29" i="2"/>
  <c r="C29" i="2"/>
  <c r="L29" i="2" s="1"/>
  <c r="I28" i="2"/>
  <c r="C28" i="2"/>
  <c r="L28" i="2" s="1"/>
  <c r="I27" i="2"/>
  <c r="C27" i="2"/>
  <c r="L27" i="2" s="1"/>
  <c r="I26" i="2"/>
  <c r="C26" i="2"/>
  <c r="L26" i="2" s="1"/>
  <c r="I25" i="2"/>
  <c r="C25" i="2"/>
  <c r="L25" i="2" s="1"/>
  <c r="I24" i="2"/>
  <c r="C24" i="2"/>
  <c r="L24" i="2" s="1"/>
  <c r="L23" i="2"/>
  <c r="I23" i="2"/>
  <c r="C23" i="2"/>
  <c r="I22" i="2"/>
  <c r="C22" i="2"/>
  <c r="L22" i="2" s="1"/>
  <c r="I21" i="2"/>
  <c r="C21" i="2"/>
  <c r="L21" i="2" s="1"/>
  <c r="I20" i="2"/>
  <c r="C20" i="2"/>
  <c r="L20" i="2" s="1"/>
  <c r="L19" i="2"/>
  <c r="I19" i="2"/>
  <c r="C19" i="2"/>
  <c r="L18" i="2"/>
  <c r="I18" i="2"/>
  <c r="C18" i="2"/>
  <c r="L17" i="2"/>
  <c r="I17" i="2"/>
  <c r="C17" i="2"/>
  <c r="I16" i="2"/>
  <c r="C16" i="2"/>
  <c r="L16" i="2" s="1"/>
  <c r="I15" i="2"/>
  <c r="C15" i="2"/>
  <c r="L15" i="2" s="1"/>
  <c r="I14" i="2"/>
  <c r="C14" i="2"/>
  <c r="L14" i="2" s="1"/>
  <c r="L13" i="2"/>
  <c r="I13" i="2"/>
  <c r="C13" i="2"/>
  <c r="L12" i="2"/>
  <c r="I12" i="2"/>
  <c r="F16" i="1" s="1"/>
  <c r="C12" i="2"/>
  <c r="L11" i="2"/>
  <c r="I11" i="2"/>
  <c r="C11" i="2"/>
  <c r="I10" i="2"/>
  <c r="C10" i="2"/>
  <c r="L10" i="2" s="1"/>
  <c r="I9" i="2"/>
  <c r="C9" i="2"/>
  <c r="L9" i="2" s="1"/>
  <c r="I8" i="2"/>
  <c r="C8" i="2"/>
  <c r="L8" i="2" s="1"/>
  <c r="L7" i="2"/>
  <c r="I7" i="2"/>
  <c r="C7" i="2"/>
  <c r="L6" i="2"/>
  <c r="I6" i="2"/>
  <c r="C6" i="2"/>
  <c r="L5" i="2"/>
  <c r="I5" i="2"/>
  <c r="C5" i="2"/>
  <c r="L20" i="1"/>
  <c r="K20" i="1"/>
  <c r="J20" i="1"/>
  <c r="I20" i="1"/>
  <c r="L19" i="1"/>
  <c r="K19" i="1"/>
  <c r="J19" i="1"/>
  <c r="I19" i="1"/>
  <c r="E19" i="1"/>
  <c r="D19" i="1"/>
  <c r="C19" i="1"/>
  <c r="B19" i="1"/>
  <c r="M18" i="1"/>
  <c r="L18" i="1"/>
  <c r="K18" i="1"/>
  <c r="J18" i="1"/>
  <c r="I18" i="1"/>
  <c r="E18" i="1"/>
  <c r="D18" i="1"/>
  <c r="C18" i="1"/>
  <c r="B18" i="1"/>
  <c r="L17" i="1"/>
  <c r="K17" i="1"/>
  <c r="J17" i="1"/>
  <c r="I17" i="1"/>
  <c r="F17" i="1"/>
  <c r="E17" i="1"/>
  <c r="D17" i="1"/>
  <c r="C17" i="1"/>
  <c r="B17" i="1"/>
  <c r="L16" i="1"/>
  <c r="K16" i="1"/>
  <c r="J16" i="1"/>
  <c r="I16" i="1"/>
  <c r="E16" i="1"/>
  <c r="D16" i="1"/>
  <c r="C16" i="1"/>
  <c r="B16" i="1"/>
  <c r="L15" i="1"/>
  <c r="K15" i="1"/>
  <c r="J15" i="1"/>
  <c r="I15" i="1"/>
  <c r="F15" i="1"/>
  <c r="E15" i="1"/>
  <c r="D15" i="1"/>
  <c r="C15" i="1"/>
  <c r="B15" i="1"/>
  <c r="L14" i="1"/>
  <c r="K14" i="1"/>
  <c r="J14" i="1"/>
  <c r="I14" i="1"/>
  <c r="F14" i="1"/>
  <c r="E14" i="1"/>
  <c r="D14" i="1"/>
  <c r="C14" i="1"/>
  <c r="B14" i="1"/>
  <c r="G7" i="1"/>
  <c r="E7" i="1"/>
  <c r="C7" i="1"/>
  <c r="A7" i="1"/>
  <c r="K5" i="1"/>
  <c r="G5" i="1"/>
  <c r="M15" i="1" l="1"/>
  <c r="M14" i="1"/>
  <c r="I7" i="1"/>
  <c r="F19" i="1"/>
  <c r="F18" i="1"/>
</calcChain>
</file>

<file path=xl/sharedStrings.xml><?xml version="1.0" encoding="utf-8"?>
<sst xmlns="http://schemas.openxmlformats.org/spreadsheetml/2006/main" count="651" uniqueCount="304">
  <si>
    <t>7天海外版上线推进看板</t>
  </si>
  <si>
    <t>按“产品开发｜产品付费｜产品推广｜用户运营｜品牌账号｜合规风险”分类跟踪，每天只需更新任务状态。</t>
  </si>
  <si>
    <t>项目开始日期（可修改）</t>
  </si>
  <si>
    <t>目标上线日期</t>
  </si>
  <si>
    <t>当前第几天</t>
  </si>
  <si>
    <t>使用方式：在“7天任务”中更新状态</t>
  </si>
  <si>
    <t>总任务</t>
  </si>
  <si>
    <t>已完成</t>
  </si>
  <si>
    <t>进行中 / 待审核</t>
  </si>
  <si>
    <t>已阻塞</t>
  </si>
  <si>
    <t>总体完成率</t>
  </si>
  <si>
    <t>按分类查看进度</t>
  </si>
  <si>
    <t>按天查看进度</t>
  </si>
  <si>
    <t>分类</t>
  </si>
  <si>
    <t>任务数</t>
  </si>
  <si>
    <t>进行中/待审核</t>
  </si>
  <si>
    <t>完成率</t>
  </si>
  <si>
    <t>天数</t>
  </si>
  <si>
    <t>日期</t>
  </si>
  <si>
    <t>产品开发与上线</t>
  </si>
  <si>
    <t>第1天</t>
  </si>
  <si>
    <t>产品付费与审核</t>
  </si>
  <si>
    <t>第2天</t>
  </si>
  <si>
    <t>产品推广与内容</t>
  </si>
  <si>
    <t>第3天</t>
  </si>
  <si>
    <t>用户测试与运营</t>
  </si>
  <si>
    <t>第4天</t>
  </si>
  <si>
    <t>品牌与账号基础</t>
  </si>
  <si>
    <t>第5天</t>
  </si>
  <si>
    <t>合规与风险</t>
  </si>
  <si>
    <t>第6天</t>
  </si>
  <si>
    <t>第7天</t>
  </si>
  <si>
    <t>建议：P0必须上线前完成；P1尽量完成；P2可延后。状态改为“已阻塞”时，请在任务表填写卡点和下一步动作。</t>
  </si>
  <si>
    <t>7天海外版上线任务清单</t>
  </si>
  <si>
    <t>只需重点维护：状态、实际完成日、卡点/问题、下一步动作、链接/备注。日期会根据总览中的开始日期自动计算。</t>
  </si>
  <si>
    <t>编号</t>
  </si>
  <si>
    <t>任务</t>
  </si>
  <si>
    <t>交付/完成标准</t>
  </si>
  <si>
    <t>优先级</t>
  </si>
  <si>
    <t>状态</t>
  </si>
  <si>
    <t>自动进度</t>
  </si>
  <si>
    <t>外部依赖/等待对象</t>
  </si>
  <si>
    <t>负责人</t>
  </si>
  <si>
    <t>截止日</t>
  </si>
  <si>
    <t>实际完成日</t>
  </si>
  <si>
    <t>卡点/问题</t>
  </si>
  <si>
    <t>下一步动作</t>
  </si>
  <si>
    <t>链接/备注</t>
  </si>
  <si>
    <t>确认英文产品名与统一品牌写法</t>
  </si>
  <si>
    <t>确定一个用于官网、社媒、Creem与itch.io的统一英文品牌名</t>
  </si>
  <si>
    <t>P0</t>
  </si>
  <si>
    <t>未开始</t>
  </si>
  <si>
    <t>域名/商标检索</t>
  </si>
  <si>
    <t>我</t>
  </si>
  <si>
    <t>注册产品域名</t>
  </si>
  <si>
    <t>域名已购买，可正常解析，续费信息已保存</t>
  </si>
  <si>
    <t>域名注册商</t>
  </si>
  <si>
    <t>配置HTTPS与基础DNS</t>
  </si>
  <si>
    <t>官网域名可通过HTTPS访问，不出现证书错误</t>
  </si>
  <si>
    <t>域名注册商/托管平台</t>
  </si>
  <si>
    <t>配置客服邮箱</t>
  </si>
  <si>
    <t>邮箱服务商</t>
  </si>
  <si>
    <t>注册Creem并创建商店</t>
  </si>
  <si>
    <t>Creem后台可访问，商店名称与品牌一致</t>
  </si>
  <si>
    <t>Creem</t>
  </si>
  <si>
    <t>确认个人入驻资料</t>
  </si>
  <si>
    <t>实名认证姓名、国家、税务居民信息与收款账户一致</t>
  </si>
  <si>
    <t>个人证件/支付宝</t>
  </si>
  <si>
    <t>提交KYC/KYB认证</t>
  </si>
  <si>
    <t>认证已提交，后台显示审核中或已通过</t>
  </si>
  <si>
    <t>Creem审核</t>
  </si>
  <si>
    <t>注册TikTok账号</t>
  </si>
  <si>
    <t>账号注册成功，用户名已占用并记录</t>
  </si>
  <si>
    <t>P1</t>
  </si>
  <si>
    <t>TikTok</t>
  </si>
  <si>
    <t>注册YouTube频道</t>
  </si>
  <si>
    <t>频道创建成功，Handle已占用并记录</t>
  </si>
  <si>
    <t>YouTube</t>
  </si>
  <si>
    <t>注册X账号</t>
  </si>
  <si>
    <t>P2</t>
  </si>
  <si>
    <t>X</t>
  </si>
  <si>
    <t>注册Reddit账号</t>
  </si>
  <si>
    <t>账号注册成功，完成基础安全设置</t>
  </si>
  <si>
    <t>Reddit</t>
  </si>
  <si>
    <t>创建Discord服务器</t>
  </si>
  <si>
    <t>服务器创建成功，邀请链接可用</t>
  </si>
  <si>
    <t>Discord</t>
  </si>
  <si>
    <t>注册itch.io账号</t>
  </si>
  <si>
    <t>账号可登录，已具备创建项目页权限</t>
  </si>
  <si>
    <t>itch.io</t>
  </si>
  <si>
    <t>锁定统一用户名</t>
  </si>
  <si>
    <t>各渠道用户名尽量一致，并在账号表中记录</t>
  </si>
  <si>
    <t>各平台账号</t>
  </si>
  <si>
    <t>检索产品名与商标冲突</t>
  </si>
  <si>
    <t>完成基础搜索，未发现明显同类强冲突；结果留档</t>
  </si>
  <si>
    <t>搜索引擎/商标数据库</t>
  </si>
  <si>
    <t>上线英文首页</t>
  </si>
  <si>
    <t>独立域名可访问；首屏能在30秒内说明产品价值</t>
  </si>
  <si>
    <t>托管平台/域名</t>
  </si>
  <si>
    <t>上线价格展示</t>
  </si>
  <si>
    <t>页面清晰展示 $9.99 或测试价格与包含内容</t>
  </si>
  <si>
    <t>定价决策</t>
  </si>
  <si>
    <t>发布隐私政策</t>
  </si>
  <si>
    <t>Privacy Policy可访问，说明数据收集、AI内容与删除方式</t>
  </si>
  <si>
    <t>政策文本</t>
  </si>
  <si>
    <t>发布用户协议</t>
  </si>
  <si>
    <t>Terms of Service可访问，说明使用规则、年龄限制与责任边界</t>
  </si>
  <si>
    <t>发布退款政策</t>
  </si>
  <si>
    <t>Refund Policy可访问，明确退款条件和处理时限</t>
  </si>
  <si>
    <t>完善网站页脚与联系信息</t>
  </si>
  <si>
    <t>页脚含开发者/商店信息、客服邮箱与政策链接</t>
  </si>
  <si>
    <t>客服邮箱</t>
  </si>
  <si>
    <t>准备Creem审核材料</t>
  </si>
  <si>
    <t>产品介绍、价格、网站、截图/演示、政策页面均可提交</t>
  </si>
  <si>
    <t>Creem审核要求</t>
  </si>
  <si>
    <t>完成社媒账号头像、简介和链接</t>
  </si>
  <si>
    <t>所有主要账号均有统一头像、简介和官网链接</t>
  </si>
  <si>
    <t>品牌素材</t>
  </si>
  <si>
    <t>配置基础访问分析</t>
  </si>
  <si>
    <t>可查看来源、落地页访问、注册/试玩/付款点击</t>
  </si>
  <si>
    <t>分析工具</t>
  </si>
  <si>
    <t>策划首批5条短视频脚本</t>
  </si>
  <si>
    <t>每条含前2秒钩子、冲突、结果与行动号召</t>
  </si>
  <si>
    <t>视频脚本</t>
  </si>
  <si>
    <t>制作首批5条短视频</t>
  </si>
  <si>
    <t>完成5条15-30秒竖屏视频，可直接发布</t>
  </si>
  <si>
    <t>剪辑工具/素材</t>
  </si>
  <si>
    <t>创建itch.io草稿页面</t>
  </si>
  <si>
    <t>项目描述、封面、截图、标签、试玩入口已填写</t>
  </si>
  <si>
    <t>搭建Discord基础频道</t>
  </si>
  <si>
    <t>包含公告、找玩家、测试安排、反馈、Bug、精彩结局频道</t>
  </si>
  <si>
    <t>建立目标社区清单</t>
  </si>
  <si>
    <t>整理Reddit/Discord/TTRPG/AI游戏社区及自推广规则</t>
  </si>
  <si>
    <t>社区规则</t>
  </si>
  <si>
    <t>建立Beta报名与反馈入口</t>
  </si>
  <si>
    <t>表单可收集邮箱、玩家类型、可测试时间和反馈授权</t>
  </si>
  <si>
    <t>表单工具</t>
  </si>
  <si>
    <t>处理Creem审核反馈</t>
  </si>
  <si>
    <t>所有补充材料已提交；记录剩余阻塞项</t>
  </si>
  <si>
    <t>发布第一批TikTok视频</t>
  </si>
  <si>
    <t>至少发布2条，并记录24小时播放、点击与评论</t>
  </si>
  <si>
    <t>发布第一批YouTube Shorts</t>
  </si>
  <si>
    <t>至少发布2条，并记录24小时播放与点击</t>
  </si>
  <si>
    <t>邀请10-20名定向测试用户</t>
  </si>
  <si>
    <t>已发出邀请并确认至少5人愿意实际试玩</t>
  </si>
  <si>
    <t>测试用户</t>
  </si>
  <si>
    <t>联系3-5名小型内容创作者</t>
  </si>
  <si>
    <t>发送个性化试玩邀请，记录回复和跟进时间</t>
  </si>
  <si>
    <t>创作者名单</t>
  </si>
  <si>
    <t>检查海外访问与所有外链</t>
  </si>
  <si>
    <t>从海外网络或测速工具验证官网、登录、政策和支付链接</t>
  </si>
  <si>
    <t>网络/托管平台</t>
  </si>
  <si>
    <t>正式公开itch.io项目页</t>
  </si>
  <si>
    <t>项目页公开可访问，试玩按钮和官网链接有效</t>
  </si>
  <si>
    <t>itch.io审核/索引</t>
  </si>
  <si>
    <t>发布第一篇Reddit开发过程帖</t>
  </si>
  <si>
    <t>遵守社区规则，内容以开发经验和求反馈为主</t>
  </si>
  <si>
    <t>Reddit社区规则</t>
  </si>
  <si>
    <t>组织Discord第一批测试</t>
  </si>
  <si>
    <t>确定时间、参与者、测试说明和反馈方式</t>
  </si>
  <si>
    <t>收集可公开使用的玩家评价</t>
  </si>
  <si>
    <t>至少获得2条明确授权使用的真实评价</t>
  </si>
  <si>
    <t>玩家授权</t>
  </si>
  <si>
    <t>沉淀真实对局传播素材</t>
  </si>
  <si>
    <t>保存至少3个反转/背叛/不同结局素材</t>
  </si>
  <si>
    <t>测试对局</t>
  </si>
  <si>
    <t>发布第二批短视频</t>
  </si>
  <si>
    <t>根据首批数据优化后再发布2-3条</t>
  </si>
  <si>
    <t>TikTok/YouTube</t>
  </si>
  <si>
    <t>把真实游戏结果制作成内容</t>
  </si>
  <si>
    <t>至少完成2条基于真实测试结果的短视频或图文</t>
  </si>
  <si>
    <t>玩家授权/素材</t>
  </si>
  <si>
    <t>联系更多细分创作者</t>
  </si>
  <si>
    <t>新增联系TTRPG、AI游戏、互动小说创作者5-10名</t>
  </si>
  <si>
    <t>准备Founder Pass或邀请码方案</t>
  </si>
  <si>
    <t>明确资格、免费次数、有效期和使用规则</t>
  </si>
  <si>
    <t>Creem/邀请码系统</t>
  </si>
  <si>
    <t>确定最佳推广素材</t>
  </si>
  <si>
    <t>基于播放、点击、试玩转化选出1-2条主推素材</t>
  </si>
  <si>
    <t>渠道数据</t>
  </si>
  <si>
    <t>海外Limited Beta公开</t>
  </si>
  <si>
    <t>官网可访问，用户可进入Beta，状态页/客服渠道可用</t>
  </si>
  <si>
    <t>托管平台</t>
  </si>
  <si>
    <t>Creem通过则开放$9.99支付</t>
  </si>
  <si>
    <t>真实支付链接可用，商品描述与退款政策一致</t>
  </si>
  <si>
    <t>Creem未通过则启用候补方案</t>
  </si>
  <si>
    <t>Founder候补/保留价格入口可提交并记录</t>
  </si>
  <si>
    <t>表单/邮件</t>
  </si>
  <si>
    <t>集中发布表现最佳素材</t>
  </si>
  <si>
    <t>把最佳素材同步到主要渠道并设置统一落地页链接</t>
  </si>
  <si>
    <t>TikTok/YouTube/X</t>
  </si>
  <si>
    <t>上线日客服与评论响应</t>
  </si>
  <si>
    <t>建立响应节奏，记录问题、退款、举报与高频疑问</t>
  </si>
  <si>
    <t>客服邮箱/社媒</t>
  </si>
  <si>
    <t>完成上线复盘与下周决策</t>
  </si>
  <si>
    <t>汇总流量、试玩、付费意愿、审核状态和下周优先级</t>
  </si>
  <si>
    <t>数据与反馈</t>
  </si>
  <si>
    <t>账号、审核与外部依赖追踪</t>
  </si>
  <si>
    <t>将所有会卡住上线的外部事项集中记录：账号、审核、域名、邮箱、政策页、创作者和社区。</t>
  </si>
  <si>
    <t>类型</t>
  </si>
  <si>
    <t>平台/事项</t>
  </si>
  <si>
    <t>用途</t>
  </si>
  <si>
    <t>目标用户名/名称</t>
  </si>
  <si>
    <t>注册状态</t>
  </si>
  <si>
    <t>资料完善</t>
  </si>
  <si>
    <t>审核状态</t>
  </si>
  <si>
    <t>URL/入口</t>
  </si>
  <si>
    <t>下一步</t>
  </si>
  <si>
    <t>备注</t>
  </si>
  <si>
    <t>基础设施</t>
  </si>
  <si>
    <t>产品域名</t>
  </si>
  <si>
    <t>官网与品牌入口</t>
  </si>
  <si>
    <t>不适用</t>
  </si>
  <si>
    <t>注册并解析</t>
  </si>
  <si>
    <t>Creem审核与用户支持</t>
  </si>
  <si>
    <t>support@你的域名</t>
  </si>
  <si>
    <t>配置收发与签名</t>
  </si>
  <si>
    <t>支付审核</t>
  </si>
  <si>
    <t>海外收款与税务处理</t>
  </si>
  <si>
    <t>已注册</t>
  </si>
  <si>
    <t>进行中</t>
  </si>
  <si>
    <t>待审核</t>
  </si>
  <si>
    <t>完成KYC/审核</t>
  </si>
  <si>
    <t>当前处于测试模式</t>
  </si>
  <si>
    <t>推广账号</t>
  </si>
  <si>
    <t>短视频自然流量</t>
  </si>
  <si>
    <t>注册并锁定用户名</t>
  </si>
  <si>
    <t>Shorts与长期内容</t>
  </si>
  <si>
    <t>创建频道</t>
  </si>
  <si>
    <t>开发者传播与更新</t>
  </si>
  <si>
    <t>注册并完善资料</t>
  </si>
  <si>
    <t>高意愿测试用户</t>
  </si>
  <si>
    <t>注册并观察社区规则</t>
  </si>
  <si>
    <t>社区运营</t>
  </si>
  <si>
    <t>测试组织与长期社群</t>
  </si>
  <si>
    <t>创建服务器和频道</t>
  </si>
  <si>
    <t>游戏平台</t>
  </si>
  <si>
    <t>浏览器游戏展示与可信度</t>
  </si>
  <si>
    <t>创建项目草稿</t>
  </si>
  <si>
    <t>合规页面</t>
  </si>
  <si>
    <t>Privacy Policy</t>
  </si>
  <si>
    <t>数据与隐私说明</t>
  </si>
  <si>
    <t>发布并链接到页脚</t>
  </si>
  <si>
    <t>Terms of Service</t>
  </si>
  <si>
    <t>用户规则与责任边界</t>
  </si>
  <si>
    <t>Refund Policy</t>
  </si>
  <si>
    <t>退款条件和处理时限</t>
  </si>
  <si>
    <t>推广资源</t>
  </si>
  <si>
    <t>小型内容创作者</t>
  </si>
  <si>
    <t>试玩与内容合作</t>
  </si>
  <si>
    <t>待联系</t>
  </si>
  <si>
    <t>建立名单并逐一联系</t>
  </si>
  <si>
    <t>目标社区清单</t>
  </si>
  <si>
    <t>Reddit/Discord/TTRPG/AI游戏</t>
  </si>
  <si>
    <t>待研究</t>
  </si>
  <si>
    <t>记录规则和发帖窗口</t>
  </si>
  <si>
    <t>海外 Limited Beta 上线验收清单</t>
  </si>
  <si>
    <t>只有“上线必须项”全部完成或有明确备用方案时，才执行第7天公开发布。</t>
  </si>
  <si>
    <t>验收项</t>
  </si>
  <si>
    <t>完成标准</t>
  </si>
  <si>
    <t>是否必须</t>
  </si>
  <si>
    <t>证据/链接</t>
  </si>
  <si>
    <t>独立域名与HTTPS</t>
  </si>
  <si>
    <t>官网通过HTTPS稳定访问</t>
  </si>
  <si>
    <t>必须</t>
  </si>
  <si>
    <t>客服邮箱可用</t>
  </si>
  <si>
    <t>support@域名 可正常收发</t>
  </si>
  <si>
    <t>网站</t>
  </si>
  <si>
    <t>英文首页已上线</t>
  </si>
  <si>
    <t>价值主张、试玩入口、价格清晰</t>
  </si>
  <si>
    <t>移动端可访问</t>
  </si>
  <si>
    <t>手机浏览不影响阅读和转化</t>
  </si>
  <si>
    <t>合规</t>
  </si>
  <si>
    <t>页面公开且页脚可访问</t>
  </si>
  <si>
    <t>页面公开且价格页可访问</t>
  </si>
  <si>
    <t>支付</t>
  </si>
  <si>
    <t>Creem KYC已提交</t>
  </si>
  <si>
    <t>后台显示审核中或已通过</t>
  </si>
  <si>
    <t>Creem真实收款可用或有备用方案</t>
  </si>
  <si>
    <t>Live支付可用；否则Founder候补可用</t>
  </si>
  <si>
    <t>商品名称与价格一致</t>
  </si>
  <si>
    <t>官网、Creem与退款政策描述一致</t>
  </si>
  <si>
    <t>推广</t>
  </si>
  <si>
    <t>至少5条短视频已准备</t>
  </si>
  <si>
    <t>可直接发布，含统一落地页链接</t>
  </si>
  <si>
    <t>主要社媒账号可用</t>
  </si>
  <si>
    <t>TikTok、YouTube至少已注册并完善</t>
  </si>
  <si>
    <t>itch.io页面可访问</t>
  </si>
  <si>
    <t>项目页公开，试玩入口有效</t>
  </si>
  <si>
    <t>建议</t>
  </si>
  <si>
    <t>用户运营</t>
  </si>
  <si>
    <t>至少5名真实测试者已确认</t>
  </si>
  <si>
    <t>已确认具体测试时间或完成试玩</t>
  </si>
  <si>
    <t>Discord/反馈入口可用</t>
  </si>
  <si>
    <t>玩家可提交Bug和意见</t>
  </si>
  <si>
    <t>上线日支持流程</t>
  </si>
  <si>
    <t>明确谁处理评论、客服、退款和举报</t>
  </si>
  <si>
    <t>数据</t>
  </si>
  <si>
    <t>访问与转化数据可查看</t>
  </si>
  <si>
    <t>至少能看来源、试玩、购买点击</t>
  </si>
  <si>
    <t>备用方案</t>
  </si>
  <si>
    <t>Creem未通过时不阻塞上线</t>
  </si>
  <si>
    <t>免费Beta+Founder候补入口已测试</t>
  </si>
  <si>
    <r>
      <t>support@</t>
    </r>
    <r>
      <rPr>
        <u/>
        <sz val="11"/>
        <color theme="10"/>
        <rFont val="微软雅黑"/>
        <family val="2"/>
        <charset val="134"/>
      </rPr>
      <t>域名</t>
    </r>
    <r>
      <rPr>
        <u/>
        <sz val="11"/>
        <color theme="10"/>
        <rFont val="Carlito"/>
        <family val="2"/>
      </rPr>
      <t xml:space="preserve"> </t>
    </r>
    <r>
      <rPr>
        <u/>
        <sz val="11"/>
        <color theme="10"/>
        <rFont val="微软雅黑"/>
        <family val="2"/>
        <charset val="134"/>
      </rPr>
      <t>邮箱可正常收发邮件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</si>
</sst>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26">
    <font>
      <sz val="11"/>
      <name val="Carlito"/>
    </font>
    <font>
      <b/>
      <sz val="22"/>
      <color rgb="FFFFFFFF"/>
      <name val="Carlito"/>
    </font>
    <font>
      <sz val="10"/>
      <color rgb="FFFFFFFF"/>
      <name val="Carlito"/>
    </font>
    <font>
      <b/>
      <sz val="11"/>
      <color rgb="FF0F172A"/>
      <name val="Carlito"/>
    </font>
    <font>
      <b/>
      <sz val="21"/>
      <color rgb="FF7C3AED"/>
      <name val="Carlito"/>
    </font>
    <font>
      <b/>
      <sz val="21"/>
      <color rgb="FF10B981"/>
      <name val="Carlito"/>
    </font>
    <font>
      <b/>
      <sz val="21"/>
      <color rgb="FF06B6D4"/>
      <name val="Carlito"/>
    </font>
    <font>
      <b/>
      <sz val="21"/>
      <color rgb="FFEF4444"/>
      <name val="Carlito"/>
    </font>
    <font>
      <b/>
      <sz val="21"/>
      <color rgb="FFF59E0B"/>
      <name val="Carlito"/>
    </font>
    <font>
      <b/>
      <sz val="10"/>
      <color rgb="FF0F172A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0"/>
      <color rgb="FF0F172A"/>
      <name val="Carlito"/>
    </font>
    <font>
      <b/>
      <sz val="10"/>
      <color rgb="FF92400E"/>
      <name val="Carlito"/>
    </font>
    <font>
      <b/>
      <sz val="20"/>
      <color rgb="FFFFFFFF"/>
      <name val="Carlito"/>
    </font>
    <font>
      <sz val="10"/>
      <color rgb="FF4C1D95"/>
      <name val="Carlito"/>
    </font>
    <font>
      <b/>
      <sz val="10"/>
      <color rgb="FFFFFFFF"/>
      <name val="Carlito"/>
    </font>
    <font>
      <sz val="9"/>
      <color rgb="FF0F172A"/>
      <name val="Carlito"/>
    </font>
    <font>
      <b/>
      <sz val="19"/>
      <color rgb="FFFFFFFF"/>
      <name val="Carlito"/>
    </font>
    <font>
      <sz val="11"/>
      <color rgb="FF155E75"/>
      <name val="Carlito"/>
    </font>
    <font>
      <b/>
      <sz val="11"/>
      <color rgb="FF991B1B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u/>
      <sz val="11"/>
      <color theme="10"/>
      <name val="微软雅黑"/>
      <family val="2"/>
      <charset val="134"/>
    </font>
    <font>
      <u/>
      <sz val="11"/>
      <color theme="10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CFFAFE"/>
      </patternFill>
    </fill>
    <fill>
      <patternFill patternType="solid">
        <fgColor rgb="FFFEE2E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1" fillId="0" borderId="0"/>
    <xf numFmtId="0" fontId="23" fillId="0" borderId="0" applyNumberFormat="0" applyFill="0" applyBorder="0" applyAlignment="0" applyProtection="0"/>
  </cellStyleXfs>
  <cellXfs count="31">
    <xf numFmtId="0" fontId="0" fillId="0" borderId="0" xfId="0"/>
    <xf numFmtId="176" fontId="3" fillId="4" borderId="0" xfId="1" applyNumberFormat="1" applyFont="1" applyFill="1" applyAlignment="1">
      <alignment horizontal="center"/>
    </xf>
    <xf numFmtId="176" fontId="3" fillId="6" borderId="0" xfId="1" applyNumberFormat="1" applyFont="1" applyFill="1" applyAlignment="1">
      <alignment horizontal="center"/>
    </xf>
    <xf numFmtId="0" fontId="3" fillId="6" borderId="0" xfId="1" applyFont="1" applyFill="1" applyAlignment="1">
      <alignment horizontal="center"/>
    </xf>
    <xf numFmtId="0" fontId="11" fillId="3" borderId="0" xfId="1" applyFont="1" applyFill="1" applyAlignment="1">
      <alignment horizontal="center" vertical="center"/>
    </xf>
    <xf numFmtId="0" fontId="12" fillId="11" borderId="0" xfId="1" applyFont="1" applyFill="1" applyAlignment="1">
      <alignment vertical="center"/>
    </xf>
    <xf numFmtId="0" fontId="12" fillId="11" borderId="0" xfId="1" applyFont="1" applyFill="1" applyAlignment="1">
      <alignment horizontal="center" vertical="center"/>
    </xf>
    <xf numFmtId="9" fontId="12" fillId="11" borderId="0" xfId="1" applyNumberFormat="1" applyFont="1" applyFill="1" applyAlignment="1">
      <alignment horizontal="center" vertical="center"/>
    </xf>
    <xf numFmtId="177" fontId="12" fillId="11" borderId="0" xfId="1" applyNumberFormat="1" applyFont="1" applyFill="1" applyAlignment="1">
      <alignment vertical="center"/>
    </xf>
    <xf numFmtId="0" fontId="16" fillId="3" borderId="0" xfId="1" applyFont="1" applyFill="1" applyAlignment="1">
      <alignment horizontal="center" vertical="center" wrapText="1"/>
    </xf>
    <xf numFmtId="0" fontId="17" fillId="11" borderId="0" xfId="1" applyFont="1" applyFill="1" applyAlignment="1">
      <alignment vertical="center" wrapText="1"/>
    </xf>
    <xf numFmtId="0" fontId="17" fillId="11" borderId="0" xfId="1" applyFont="1" applyFill="1" applyAlignment="1">
      <alignment horizontal="center" vertical="center" wrapText="1"/>
    </xf>
    <xf numFmtId="177" fontId="17" fillId="11" borderId="0" xfId="1" applyNumberFormat="1" applyFont="1" applyFill="1" applyAlignment="1">
      <alignment horizontal="center" vertical="center" wrapText="1"/>
    </xf>
    <xf numFmtId="9" fontId="17" fillId="11" borderId="0" xfId="1" applyNumberFormat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9" fontId="8" fillId="4" borderId="0" xfId="1" applyNumberFormat="1" applyFont="1" applyFill="1" applyAlignment="1">
      <alignment horizontal="center" vertical="center"/>
    </xf>
    <xf numFmtId="0" fontId="9" fillId="0" borderId="0" xfId="1" applyFont="1" applyAlignment="1">
      <alignment horizontal="center"/>
    </xf>
    <xf numFmtId="0" fontId="10" fillId="2" borderId="0" xfId="1" applyFont="1" applyFill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5" fillId="7" borderId="0" xfId="1" applyFont="1" applyFill="1" applyAlignment="1">
      <alignment horizontal="left" vertical="center"/>
    </xf>
    <xf numFmtId="0" fontId="18" fillId="2" borderId="0" xfId="1" applyFont="1" applyFill="1" applyAlignment="1">
      <alignment horizontal="center" vertical="center"/>
    </xf>
    <xf numFmtId="0" fontId="19" fillId="9" borderId="0" xfId="1" applyFont="1" applyFill="1" applyAlignment="1">
      <alignment wrapText="1"/>
    </xf>
    <xf numFmtId="0" fontId="20" fillId="10" borderId="0" xfId="1" applyFont="1" applyFill="1" applyAlignment="1">
      <alignment horizontal="center"/>
    </xf>
    <xf numFmtId="0" fontId="23" fillId="11" borderId="0" xfId="2" applyFill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15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334155"/>
      </font>
      <fill>
        <patternFill patternType="solid">
          <bgColor rgb="FFE2E8F0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55E75"/>
      </font>
      <fill>
        <patternFill patternType="solid">
          <bgColor rgb="FFCFFAFE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334155"/>
      </font>
      <fill>
        <patternFill patternType="solid">
          <bgColor rgb="FFE2E8F0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5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完成率</c:v>
          </c:tx>
          <c:invertIfNegative val="1"/>
          <c:cat>
            <c:strRef>
              <c:f>总览!$A$14:$A$19</c:f>
              <c:strCache>
                <c:ptCount val="6"/>
                <c:pt idx="0">
                  <c:v>产品开发与上线</c:v>
                </c:pt>
                <c:pt idx="1">
                  <c:v>产品付费与审核</c:v>
                </c:pt>
                <c:pt idx="2">
                  <c:v>产品推广与内容</c:v>
                </c:pt>
                <c:pt idx="3">
                  <c:v>用户测试与运营</c:v>
                </c:pt>
                <c:pt idx="4">
                  <c:v>品牌与账号基础</c:v>
                </c:pt>
                <c:pt idx="5">
                  <c:v>合规与风险</c:v>
                </c:pt>
              </c:strCache>
            </c:strRef>
          </c:cat>
          <c:val>
            <c:numRef>
              <c:f>总览!$F$14:$F$19</c:f>
              <c:numCache>
                <c:formatCode>0%</c:formatCode>
                <c:ptCount val="6"/>
                <c:pt idx="0">
                  <c:v>0.2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0.75</c:v>
                </c:pt>
                <c:pt idx="5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F-4B88-880B-6BCD1D55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完成率</c:v>
          </c:tx>
          <c:cat>
            <c:strRef>
              <c:f>总览!$H$14:$H$20</c:f>
              <c:strCache>
                <c:ptCount val="7"/>
                <c:pt idx="0">
                  <c:v>第1天</c:v>
                </c:pt>
                <c:pt idx="1">
                  <c:v>第2天</c:v>
                </c:pt>
                <c:pt idx="2">
                  <c:v>第3天</c:v>
                </c:pt>
                <c:pt idx="3">
                  <c:v>第4天</c:v>
                </c:pt>
                <c:pt idx="4">
                  <c:v>第5天</c:v>
                </c:pt>
                <c:pt idx="5">
                  <c:v>第6天</c:v>
                </c:pt>
                <c:pt idx="6">
                  <c:v>第7天</c:v>
                </c:pt>
              </c:strCache>
            </c:strRef>
          </c:cat>
          <c:val>
            <c:numRef>
              <c:f>总览!$M$14:$M$20</c:f>
              <c:numCache>
                <c:formatCode>0%</c:formatCode>
                <c:ptCount val="7"/>
                <c:pt idx="0">
                  <c:v>0.33333333333333331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7-4189-A06D-736599E9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TasksTable" displayName="LaunchTasksTable" ref="A4:P56">
  <tableColumns count="16">
    <tableColumn id="1" xr3:uid="{00000000-0010-0000-0000-000001000000}" name="编号"/>
    <tableColumn id="2" xr3:uid="{00000000-0010-0000-0000-000002000000}" name="天数"/>
    <tableColumn id="3" xr3:uid="{00000000-0010-0000-0000-000003000000}" name="日期"/>
    <tableColumn id="4" xr3:uid="{00000000-0010-0000-0000-000004000000}" name="分类"/>
    <tableColumn id="5" xr3:uid="{00000000-0010-0000-0000-000005000000}" name="任务"/>
    <tableColumn id="6" xr3:uid="{00000000-0010-0000-0000-000006000000}" name="交付/完成标准"/>
    <tableColumn id="7" xr3:uid="{00000000-0010-0000-0000-000007000000}" name="优先级"/>
    <tableColumn id="8" xr3:uid="{00000000-0010-0000-0000-000008000000}" name="状态"/>
    <tableColumn id="9" xr3:uid="{00000000-0010-0000-0000-000009000000}" name="自动进度"/>
    <tableColumn id="10" xr3:uid="{00000000-0010-0000-0000-00000A000000}" name="外部依赖/等待对象"/>
    <tableColumn id="11" xr3:uid="{00000000-0010-0000-0000-00000B000000}" name="负责人"/>
    <tableColumn id="12" xr3:uid="{00000000-0010-0000-0000-00000C000000}" name="截止日"/>
    <tableColumn id="13" xr3:uid="{00000000-0010-0000-0000-00000D000000}" name="实际完成日"/>
    <tableColumn id="14" xr3:uid="{00000000-0010-0000-0000-00000E000000}" name="卡点/问题"/>
    <tableColumn id="15" xr3:uid="{00000000-0010-0000-0000-00000F000000}" name="下一步动作"/>
    <tableColumn id="16" xr3:uid="{00000000-0010-0000-0000-000010000000}" name="链接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ernalDependenciesTable" displayName="ExternalDependenciesTable" ref="A4:J18">
  <tableColumns count="10">
    <tableColumn id="1" xr3:uid="{00000000-0010-0000-0100-000001000000}" name="类型"/>
    <tableColumn id="2" xr3:uid="{00000000-0010-0000-0100-000002000000}" name="平台/事项"/>
    <tableColumn id="3" xr3:uid="{00000000-0010-0000-0100-000003000000}" name="用途"/>
    <tableColumn id="4" xr3:uid="{00000000-0010-0000-0100-000004000000}" name="目标用户名/名称"/>
    <tableColumn id="5" xr3:uid="{00000000-0010-0000-0100-000005000000}" name="注册状态"/>
    <tableColumn id="6" xr3:uid="{00000000-0010-0000-0100-000006000000}" name="资料完善"/>
    <tableColumn id="7" xr3:uid="{00000000-0010-0000-0100-000007000000}" name="审核状态"/>
    <tableColumn id="8" xr3:uid="{00000000-0010-0000-0100-000008000000}" name="URL/入口"/>
    <tableColumn id="9" xr3:uid="{00000000-0010-0000-0100-000009000000}" name="下一步"/>
    <tableColumn id="10" xr3:uid="{00000000-0010-0000-0100-00000A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unchChecklistTable" displayName="LaunchChecklistTable" ref="A4:H22">
  <tableColumns count="8">
    <tableColumn id="1" xr3:uid="{00000000-0010-0000-0200-000001000000}" name="分类"/>
    <tableColumn id="2" xr3:uid="{00000000-0010-0000-0200-000002000000}" name="验收项"/>
    <tableColumn id="3" xr3:uid="{00000000-0010-0000-0200-000003000000}" name="完成标准"/>
    <tableColumn id="4" xr3:uid="{00000000-0010-0000-0200-000004000000}" name="是否必须"/>
    <tableColumn id="5" xr3:uid="{00000000-0010-0000-0200-000005000000}" name="状态"/>
    <tableColumn id="6" xr3:uid="{00000000-0010-0000-0200-000006000000}" name="证据/链接"/>
    <tableColumn id="7" xr3:uid="{00000000-0010-0000-0200-000007000000}" name="负责人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upport@&#22495;&#21517;%20&#37038;&#31665;&#21487;&#27491;&#24120;&#25910;&#21457;&#37038;&#20214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115" zoomScaleNormal="115" workbookViewId="0">
      <selection sqref="A1:N2"/>
    </sheetView>
  </sheetViews>
  <sheetFormatPr defaultRowHeight="13.5"/>
  <cols>
    <col min="1" max="1" width="22" customWidth="1"/>
    <col min="2" max="2" width="10" customWidth="1"/>
    <col min="3" max="3" width="12" customWidth="1"/>
    <col min="4" max="4" width="14" customWidth="1"/>
    <col min="5" max="5" width="16" customWidth="1"/>
    <col min="6" max="12" width="12" customWidth="1"/>
    <col min="13" max="13" width="14" customWidth="1"/>
    <col min="14" max="14" width="22" customWidth="1"/>
  </cols>
  <sheetData>
    <row r="1" spans="1:14" ht="1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1" customHeight="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1" customHeight="1"/>
    <row r="5" spans="1:14" ht="11" customHeight="1">
      <c r="A5" s="16" t="s">
        <v>2</v>
      </c>
      <c r="B5" s="16"/>
      <c r="C5" s="1">
        <v>46215</v>
      </c>
      <c r="E5" s="16" t="s">
        <v>3</v>
      </c>
      <c r="F5" s="16"/>
      <c r="G5" s="2">
        <f>C5+6</f>
        <v>46221</v>
      </c>
      <c r="I5" s="16" t="s">
        <v>4</v>
      </c>
      <c r="J5" s="16"/>
      <c r="K5" s="3">
        <f ca="1">MAX(1,MIN(7,TODAY()-C5+1))</f>
        <v>2</v>
      </c>
      <c r="M5" s="16" t="s">
        <v>5</v>
      </c>
      <c r="N5" s="16"/>
    </row>
    <row r="6" spans="1:14" ht="11" customHeight="1"/>
    <row r="7" spans="1:14" ht="11" customHeight="1">
      <c r="A7" s="17">
        <f>COUNTA('7天任务'!E5:E200)</f>
        <v>52</v>
      </c>
      <c r="B7" s="17"/>
      <c r="C7" s="18">
        <f>COUNTIF('7天任务'!H5:H200,"已完成")</f>
        <v>6</v>
      </c>
      <c r="D7" s="18"/>
      <c r="E7" s="19">
        <f>COUNTIF('7天任务'!H5:H200,"进行中")+COUNTIF('7天任务'!H5:H200,"待审核")</f>
        <v>4</v>
      </c>
      <c r="F7" s="19"/>
      <c r="G7" s="20">
        <f>COUNTIF('7天任务'!H5:H200,"已阻塞")</f>
        <v>0</v>
      </c>
      <c r="H7" s="20"/>
      <c r="I7" s="21">
        <f>IFERROR(AVERAGE('7天任务'!I5:I200),0)</f>
        <v>0.15384615384615385</v>
      </c>
      <c r="J7" s="21"/>
    </row>
    <row r="8" spans="1:14" ht="11" customHeight="1">
      <c r="A8" s="17"/>
      <c r="B8" s="17"/>
      <c r="C8" s="18"/>
      <c r="D8" s="18"/>
      <c r="E8" s="19"/>
      <c r="F8" s="19"/>
      <c r="G8" s="20"/>
      <c r="H8" s="20"/>
      <c r="I8" s="21"/>
      <c r="J8" s="21"/>
    </row>
    <row r="9" spans="1:14" ht="11" customHeight="1">
      <c r="A9" s="17"/>
      <c r="B9" s="17"/>
      <c r="C9" s="18"/>
      <c r="D9" s="18"/>
      <c r="E9" s="19"/>
      <c r="F9" s="19"/>
      <c r="G9" s="20"/>
      <c r="H9" s="20"/>
      <c r="I9" s="21"/>
      <c r="J9" s="21"/>
    </row>
    <row r="10" spans="1:14" ht="11" customHeight="1">
      <c r="A10" s="22" t="s">
        <v>6</v>
      </c>
      <c r="B10" s="22"/>
      <c r="C10" s="22" t="s">
        <v>7</v>
      </c>
      <c r="D10" s="22"/>
      <c r="E10" s="22" t="s">
        <v>8</v>
      </c>
      <c r="F10" s="22"/>
      <c r="G10" s="22" t="s">
        <v>9</v>
      </c>
      <c r="H10" s="22"/>
      <c r="I10" s="22" t="s">
        <v>10</v>
      </c>
      <c r="J10" s="22"/>
    </row>
    <row r="11" spans="1:14" ht="11" customHeight="1"/>
    <row r="12" spans="1:14" ht="11" customHeight="1">
      <c r="A12" s="23" t="s">
        <v>11</v>
      </c>
      <c r="B12" s="23"/>
      <c r="C12" s="23"/>
      <c r="D12" s="23"/>
      <c r="E12" s="23"/>
      <c r="F12" s="23"/>
      <c r="H12" s="23" t="s">
        <v>12</v>
      </c>
      <c r="I12" s="23"/>
      <c r="J12" s="23"/>
      <c r="K12" s="23"/>
      <c r="L12" s="23"/>
      <c r="M12" s="23"/>
    </row>
    <row r="13" spans="1:14" ht="11" customHeight="1">
      <c r="A13" s="4" t="s">
        <v>13</v>
      </c>
      <c r="B13" s="4" t="s">
        <v>14</v>
      </c>
      <c r="C13" s="4" t="s">
        <v>7</v>
      </c>
      <c r="D13" s="4" t="s">
        <v>15</v>
      </c>
      <c r="E13" s="4" t="s">
        <v>9</v>
      </c>
      <c r="F13" s="4" t="s">
        <v>16</v>
      </c>
      <c r="H13" s="4" t="s">
        <v>17</v>
      </c>
      <c r="I13" s="4" t="s">
        <v>18</v>
      </c>
      <c r="J13" s="4" t="s">
        <v>14</v>
      </c>
      <c r="K13" s="4" t="s">
        <v>7</v>
      </c>
      <c r="L13" s="4" t="s">
        <v>9</v>
      </c>
      <c r="M13" s="4" t="s">
        <v>16</v>
      </c>
    </row>
    <row r="14" spans="1:14" ht="11" customHeight="1">
      <c r="A14" s="5" t="s">
        <v>19</v>
      </c>
      <c r="B14" s="6">
        <f>COUNTIF('7天任务'!$D$5:$D$200,A14)</f>
        <v>5</v>
      </c>
      <c r="C14" s="6">
        <f>COUNTIFS('7天任务'!$D$5:$D$200,A14,'7天任务'!$H$5:$H$200,"已完成")</f>
        <v>1</v>
      </c>
      <c r="D14" s="6">
        <f>COUNTIFS('7天任务'!$D$5:$D$200,A14,'7天任务'!$H$5:$H$200,"进行中")+COUNTIFS('7天任务'!$D$5:$D$200,A14,'7天任务'!$H$5:$H$200,"待审核")</f>
        <v>0</v>
      </c>
      <c r="E14" s="6">
        <f>COUNTIFS('7天任务'!$D$5:$D$200,A14,'7天任务'!$H$5:$H$200,"已阻塞")</f>
        <v>0</v>
      </c>
      <c r="F14" s="7">
        <f>IFERROR(SUMIF('7天任务'!$D$5:$D$200,A14,'7天任务'!$I$5:$I$200)/COUNTIF('7天任务'!$D$5:$D$200,A14),0)</f>
        <v>0.2</v>
      </c>
      <c r="H14" s="5" t="s">
        <v>20</v>
      </c>
      <c r="I14" s="8">
        <f>$C$5+0</f>
        <v>46215</v>
      </c>
      <c r="J14" s="6">
        <f>COUNTIF('7天任务'!$B$5:$B$200,1)</f>
        <v>15</v>
      </c>
      <c r="K14" s="6">
        <f>COUNTIFS('7天任务'!$B$5:$B$200,1,'7天任务'!$H$5:$H$200,"已完成")</f>
        <v>5</v>
      </c>
      <c r="L14" s="6">
        <f>COUNTIFS('7天任务'!$B$5:$B$200,1,'7天任务'!$H$5:$H$200,"已阻塞")</f>
        <v>0</v>
      </c>
      <c r="M14" s="7">
        <f>IFERROR(SUMIF('7天任务'!$B$5:$B$200,1,'7天任务'!$I$5:$I$200)/COUNTIF('7天任务'!$B$5:$B$200,1),0)</f>
        <v>0.33333333333333331</v>
      </c>
    </row>
    <row r="15" spans="1:14" ht="11" customHeight="1">
      <c r="A15" s="5" t="s">
        <v>21</v>
      </c>
      <c r="B15" s="6">
        <f>COUNTIF('7天任务'!$D$5:$D$200,A15)</f>
        <v>8</v>
      </c>
      <c r="C15" s="6">
        <f>COUNTIFS('7天任务'!$D$5:$D$200,A15,'7天任务'!$H$5:$H$200,"已完成")</f>
        <v>1</v>
      </c>
      <c r="D15" s="6">
        <f>COUNTIFS('7天任务'!$D$5:$D$200,A15,'7天任务'!$H$5:$H$200,"进行中")+COUNTIFS('7天任务'!$D$5:$D$200,A15,'7天任务'!$H$5:$H$200,"待审核")</f>
        <v>0</v>
      </c>
      <c r="E15" s="6">
        <f>COUNTIFS('7天任务'!$D$5:$D$200,A15,'7天任务'!$H$5:$H$200,"已阻塞")</f>
        <v>0</v>
      </c>
      <c r="F15" s="7">
        <f>IFERROR(SUMIF('7天任务'!$D$5:$D$200,A15,'7天任务'!$I$5:$I$200)/COUNTIF('7天任务'!$D$5:$D$200,A15),0)</f>
        <v>0.125</v>
      </c>
      <c r="H15" s="5" t="s">
        <v>22</v>
      </c>
      <c r="I15" s="8">
        <f>$C$5+1</f>
        <v>46216</v>
      </c>
      <c r="J15" s="6">
        <f>COUNTIF('7天任务'!$B$5:$B$200,2)</f>
        <v>9</v>
      </c>
      <c r="K15" s="6">
        <f>COUNTIFS('7天任务'!$B$5:$B$200,2,'7天任务'!$H$5:$H$200,"已完成")</f>
        <v>1</v>
      </c>
      <c r="L15" s="6">
        <f>COUNTIFS('7天任务'!$B$5:$B$200,2,'7天任务'!$H$5:$H$200,"已阻塞")</f>
        <v>0</v>
      </c>
      <c r="M15" s="7">
        <f>IFERROR(SUMIF('7天任务'!$B$5:$B$200,2,'7天任务'!$I$5:$I$200)/COUNTIF('7天任务'!$B$5:$B$200,2),0)</f>
        <v>0.33333333333333331</v>
      </c>
    </row>
    <row r="16" spans="1:14" ht="11" customHeight="1">
      <c r="A16" s="5" t="s">
        <v>23</v>
      </c>
      <c r="B16" s="6">
        <f>COUNTIF('7天任务'!$D$5:$D$200,A16)</f>
        <v>21</v>
      </c>
      <c r="C16" s="6">
        <f>COUNTIFS('7天任务'!$D$5:$D$200,A16,'7天任务'!$H$5:$H$200,"已完成")</f>
        <v>0</v>
      </c>
      <c r="D16" s="6">
        <f>COUNTIFS('7天任务'!$D$5:$D$200,A16,'7天任务'!$H$5:$H$200,"进行中")+COUNTIFS('7天任务'!$D$5:$D$200,A16,'7天任务'!$H$5:$H$200,"待审核")</f>
        <v>0</v>
      </c>
      <c r="E16" s="6">
        <f>COUNTIFS('7天任务'!$D$5:$D$200,A16,'7天任务'!$H$5:$H$200,"已阻塞")</f>
        <v>0</v>
      </c>
      <c r="F16" s="7">
        <f>IFERROR(SUMIF('7天任务'!$D$5:$D$200,A16,'7天任务'!$I$5:$I$200)/COUNTIF('7天任务'!$D$5:$D$200,A16),0)</f>
        <v>0</v>
      </c>
      <c r="H16" s="5" t="s">
        <v>24</v>
      </c>
      <c r="I16" s="8">
        <f>$C$5+2</f>
        <v>46217</v>
      </c>
      <c r="J16" s="6">
        <f>COUNTIF('7天任务'!$B$5:$B$200,3)</f>
        <v>6</v>
      </c>
      <c r="K16" s="6">
        <f>COUNTIFS('7天任务'!$B$5:$B$200,3,'7天任务'!$H$5:$H$200,"已完成")</f>
        <v>0</v>
      </c>
      <c r="L16" s="6">
        <f>COUNTIFS('7天任务'!$B$5:$B$200,3,'7天任务'!$H$5:$H$200,"已阻塞")</f>
        <v>0</v>
      </c>
      <c r="M16" s="7">
        <f>IFERROR(SUMIF('7天任务'!$B$5:$B$200,3,'7天任务'!$I$5:$I$200)/COUNTIF('7天任务'!$B$5:$B$200,3),0)</f>
        <v>0</v>
      </c>
    </row>
    <row r="17" spans="1:14" ht="11" customHeight="1">
      <c r="A17" s="5" t="s">
        <v>25</v>
      </c>
      <c r="B17" s="6">
        <f>COUNTIF('7天任务'!$D$5:$D$200,A17)</f>
        <v>8</v>
      </c>
      <c r="C17" s="6">
        <f>COUNTIFS('7天任务'!$D$5:$D$200,A17,'7天任务'!$H$5:$H$200,"已完成")</f>
        <v>0</v>
      </c>
      <c r="D17" s="6">
        <f>COUNTIFS('7天任务'!$D$5:$D$200,A17,'7天任务'!$H$5:$H$200,"进行中")+COUNTIFS('7天任务'!$D$5:$D$200,A17,'7天任务'!$H$5:$H$200,"待审核")</f>
        <v>0</v>
      </c>
      <c r="E17" s="6">
        <f>COUNTIFS('7天任务'!$D$5:$D$200,A17,'7天任务'!$H$5:$H$200,"已阻塞")</f>
        <v>0</v>
      </c>
      <c r="F17" s="7">
        <f>IFERROR(SUMIF('7天任务'!$D$5:$D$200,A17,'7天任务'!$I$5:$I$200)/COUNTIF('7天任务'!$D$5:$D$200,A17),0)</f>
        <v>0</v>
      </c>
      <c r="H17" s="5" t="s">
        <v>26</v>
      </c>
      <c r="I17" s="8">
        <f>$C$5+3</f>
        <v>46218</v>
      </c>
      <c r="J17" s="6">
        <f>COUNTIF('7天任务'!$B$5:$B$200,4)</f>
        <v>6</v>
      </c>
      <c r="K17" s="6">
        <f>COUNTIFS('7天任务'!$B$5:$B$200,4,'7天任务'!$H$5:$H$200,"已完成")</f>
        <v>0</v>
      </c>
      <c r="L17" s="6">
        <f>COUNTIFS('7天任务'!$B$5:$B$200,4,'7天任务'!$H$5:$H$200,"已阻塞")</f>
        <v>0</v>
      </c>
      <c r="M17" s="7">
        <f>IFERROR(SUMIF('7天任务'!$B$5:$B$200,4,'7天任务'!$I$5:$I$200)/COUNTIF('7天任务'!$B$5:$B$200,4),0)</f>
        <v>0</v>
      </c>
    </row>
    <row r="18" spans="1:14" ht="11" customHeight="1">
      <c r="A18" s="5" t="s">
        <v>27</v>
      </c>
      <c r="B18" s="6">
        <f>COUNTIF('7天任务'!$D$5:$D$200,A18)</f>
        <v>6</v>
      </c>
      <c r="C18" s="6">
        <f>COUNTIFS('7天任务'!$D$5:$D$200,A18,'7天任务'!$H$5:$H$200,"已完成")</f>
        <v>4</v>
      </c>
      <c r="D18" s="6">
        <f>COUNTIFS('7天任务'!$D$5:$D$200,A18,'7天任务'!$H$5:$H$200,"进行中")+COUNTIFS('7天任务'!$D$5:$D$200,A18,'7天任务'!$H$5:$H$200,"待审核")</f>
        <v>1</v>
      </c>
      <c r="E18" s="6">
        <f>COUNTIFS('7天任务'!$D$5:$D$200,A18,'7天任务'!$H$5:$H$200,"已阻塞")</f>
        <v>0</v>
      </c>
      <c r="F18" s="7">
        <f>IFERROR(SUMIF('7天任务'!$D$5:$D$200,A18,'7天任务'!$I$5:$I$200)/COUNTIF('7天任务'!$D$5:$D$200,A18),0)</f>
        <v>0.75</v>
      </c>
      <c r="H18" s="5" t="s">
        <v>28</v>
      </c>
      <c r="I18" s="8">
        <f>$C$5+4</f>
        <v>46219</v>
      </c>
      <c r="J18" s="6">
        <f>COUNTIF('7天任务'!$B$5:$B$200,5)</f>
        <v>5</v>
      </c>
      <c r="K18" s="6">
        <f>COUNTIFS('7天任务'!$B$5:$B$200,5,'7天任务'!$H$5:$H$200,"已完成")</f>
        <v>0</v>
      </c>
      <c r="L18" s="6">
        <f>COUNTIFS('7天任务'!$B$5:$B$200,5,'7天任务'!$H$5:$H$200,"已阻塞")</f>
        <v>0</v>
      </c>
      <c r="M18" s="7">
        <f>IFERROR(SUMIF('7天任务'!$B$5:$B$200,5,'7天任务'!$I$5:$I$200)/COUNTIF('7天任务'!$B$5:$B$200,5),0)</f>
        <v>0</v>
      </c>
    </row>
    <row r="19" spans="1:14" ht="11" customHeight="1">
      <c r="A19" s="5" t="s">
        <v>29</v>
      </c>
      <c r="B19" s="6">
        <f>COUNTIF('7天任务'!$D$5:$D$200,A19)</f>
        <v>4</v>
      </c>
      <c r="C19" s="6">
        <f>COUNTIFS('7天任务'!$D$5:$D$200,A19,'7天任务'!$H$5:$H$200,"已完成")</f>
        <v>0</v>
      </c>
      <c r="D19" s="6">
        <f>COUNTIFS('7天任务'!$D$5:$D$200,A19,'7天任务'!$H$5:$H$200,"进行中")+COUNTIFS('7天任务'!$D$5:$D$200,A19,'7天任务'!$H$5:$H$200,"待审核")</f>
        <v>3</v>
      </c>
      <c r="E19" s="6">
        <f>COUNTIFS('7天任务'!$D$5:$D$200,A19,'7天任务'!$H$5:$H$200,"已阻塞")</f>
        <v>0</v>
      </c>
      <c r="F19" s="7">
        <f>IFERROR(SUMIF('7天任务'!$D$5:$D$200,A19,'7天任务'!$I$5:$I$200)/COUNTIF('7天任务'!$D$5:$D$200,A19),0)</f>
        <v>0.375</v>
      </c>
      <c r="H19" s="5" t="s">
        <v>30</v>
      </c>
      <c r="I19" s="8">
        <f>$C$5+5</f>
        <v>46220</v>
      </c>
      <c r="J19" s="6">
        <f>COUNTIF('7天任务'!$B$5:$B$200,6)</f>
        <v>5</v>
      </c>
      <c r="K19" s="6">
        <f>COUNTIFS('7天任务'!$B$5:$B$200,6,'7天任务'!$H$5:$H$200,"已完成")</f>
        <v>0</v>
      </c>
      <c r="L19" s="6">
        <f>COUNTIFS('7天任务'!$B$5:$B$200,6,'7天任务'!$H$5:$H$200,"已阻塞")</f>
        <v>0</v>
      </c>
      <c r="M19" s="7">
        <f>IFERROR(SUMIF('7天任务'!$B$5:$B$200,6,'7天任务'!$I$5:$I$200)/COUNTIF('7天任务'!$B$5:$B$200,6),0)</f>
        <v>0</v>
      </c>
    </row>
    <row r="20" spans="1:14" ht="11" customHeight="1">
      <c r="H20" s="5" t="s">
        <v>31</v>
      </c>
      <c r="I20" s="8">
        <f>$C$5+6</f>
        <v>46221</v>
      </c>
      <c r="J20" s="6">
        <f>COUNTIF('7天任务'!$B$5:$B$200,7)</f>
        <v>6</v>
      </c>
      <c r="K20" s="6">
        <f>COUNTIFS('7天任务'!$B$5:$B$200,7,'7天任务'!$H$5:$H$200,"已完成")</f>
        <v>0</v>
      </c>
      <c r="L20" s="6">
        <f>COUNTIFS('7天任务'!$B$5:$B$200,7,'7天任务'!$H$5:$H$200,"已阻塞")</f>
        <v>0</v>
      </c>
      <c r="M20" s="7">
        <f>IFERROR(SUMIF('7天任务'!$B$5:$B$200,7,'7天任务'!$I$5:$I$200)/COUNTIF('7天任务'!$B$5:$B$200,7),0)</f>
        <v>0</v>
      </c>
    </row>
    <row r="21" spans="1:14" ht="11" customHeight="1"/>
    <row r="22" spans="1:14" ht="11" customHeight="1">
      <c r="A22" s="24" t="s">
        <v>32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1" customHeight="1"/>
    <row r="24" spans="1:14" ht="11" customHeight="1"/>
    <row r="25" spans="1:14" ht="11" customHeight="1"/>
    <row r="26" spans="1:14" ht="11" customHeight="1"/>
    <row r="27" spans="1:14" ht="11" customHeight="1"/>
    <row r="28" spans="1:14" ht="11" customHeight="1"/>
    <row r="29" spans="1:14" ht="11" customHeight="1"/>
    <row r="30" spans="1:14" ht="11" customHeight="1"/>
    <row r="31" spans="1:14" ht="11" customHeight="1"/>
    <row r="32" spans="1:14" ht="11" customHeight="1"/>
    <row r="33" ht="11" customHeight="1"/>
    <row r="34" ht="11" customHeight="1"/>
    <row r="35" ht="11" customHeight="1"/>
    <row r="36" ht="11" customHeight="1"/>
    <row r="37" ht="11" customHeight="1"/>
    <row r="38" ht="11" customHeight="1"/>
    <row r="39" ht="11" customHeight="1"/>
    <row r="40" ht="11" customHeight="1"/>
  </sheetData>
  <mergeCells count="19">
    <mergeCell ref="A12:F12"/>
    <mergeCell ref="H12:M12"/>
    <mergeCell ref="A22:N22"/>
    <mergeCell ref="A10:B10"/>
    <mergeCell ref="C10:D10"/>
    <mergeCell ref="E10:F10"/>
    <mergeCell ref="G10:H10"/>
    <mergeCell ref="I10:J10"/>
    <mergeCell ref="A7:B9"/>
    <mergeCell ref="C7:D9"/>
    <mergeCell ref="E7:F9"/>
    <mergeCell ref="G7:H9"/>
    <mergeCell ref="I7:J9"/>
    <mergeCell ref="A1:N2"/>
    <mergeCell ref="A3:N3"/>
    <mergeCell ref="A5:B5"/>
    <mergeCell ref="E5:F5"/>
    <mergeCell ref="I5:J5"/>
    <mergeCell ref="M5:N5"/>
  </mergeCells>
  <phoneticPr fontId="22" type="noConversion"/>
  <conditionalFormatting sqref="F14:F19">
    <cfRule type="dataBar" priority="1">
      <dataBar>
        <cfvo type="min"/>
        <cfvo type="max"/>
        <color rgb="FF7C3AED"/>
      </dataBar>
    </cfRule>
    <cfRule type="dataBar" priority="3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{9BFB47AB-F48E-53DF-E161-4C924D031700}</x14:id>
        </ext>
      </extLst>
    </cfRule>
  </conditionalFormatting>
  <conditionalFormatting sqref="M14:M20">
    <cfRule type="dataBar" priority="2">
      <dataBar>
        <cfvo type="min"/>
        <cfvo type="max"/>
        <color rgb="FF06B6D4"/>
      </dataBar>
    </cfRule>
    <cfRule type="dataBar" priority="4">
      <dataBar>
        <cfvo type="min"/>
        <cfvo type="max"/>
        <color rgb="FF06B6D4"/>
      </dataBar>
      <extLst>
        <ext xmlns:x14="http://schemas.microsoft.com/office/spreadsheetml/2009/9/main" uri="{B025F937-C7B1-47D3-B67F-A62EFF666E3E}">
          <x14:id>{02C9F090-9FCD-7F53-21E3-1999B91EEB3B}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B47AB-F48E-53DF-E161-4C924D031700}">
            <x14:dataBar>
              <x14:cfvo type="min"/>
              <x14:cfvo type="max"/>
              <x14:negativeFillColor auto="1"/>
              <x14:axisColor auto="1"/>
            </x14:dataBar>
          </x14:cfRule>
          <xm:sqref>F14:F19</xm:sqref>
        </x14:conditionalFormatting>
        <x14:conditionalFormatting xmlns:xm="http://schemas.microsoft.com/office/excel/2006/main">
          <x14:cfRule type="dataBar" id="{02C9F090-9FCD-7F53-21E3-1999B91EEB3B}">
            <x14:dataBar>
              <x14:cfvo type="min"/>
              <x14:cfvo type="max"/>
              <x14:negativeFillColor auto="1"/>
              <x14:axisColor auto="1"/>
            </x14:dataBar>
          </x14:cfRule>
          <xm:sqref>M14:M20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topLeftCell="D36" workbookViewId="0">
      <selection activeCell="H21" sqref="H21"/>
    </sheetView>
  </sheetViews>
  <sheetFormatPr defaultRowHeight="13.5"/>
  <cols>
    <col min="1" max="2" width="7" customWidth="1"/>
    <col min="3" max="3" width="10" customWidth="1"/>
    <col min="4" max="4" width="18" customWidth="1"/>
    <col min="5" max="5" width="28" customWidth="1"/>
    <col min="6" max="6" width="40" customWidth="1"/>
    <col min="7" max="7" width="9" customWidth="1"/>
    <col min="8" max="9" width="11" customWidth="1"/>
    <col min="10" max="10" width="20" customWidth="1"/>
    <col min="11" max="12" width="10" customWidth="1"/>
    <col min="13" max="13" width="12" customWidth="1"/>
    <col min="14" max="15" width="28" customWidth="1"/>
    <col min="16" max="16" width="24" customWidth="1"/>
  </cols>
  <sheetData>
    <row r="1" spans="1:16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>
      <c r="A3" s="26" t="s">
        <v>34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17" customHeight="1">
      <c r="A4" s="9" t="s">
        <v>35</v>
      </c>
      <c r="B4" s="9" t="s">
        <v>17</v>
      </c>
      <c r="C4" s="9" t="s">
        <v>18</v>
      </c>
      <c r="D4" s="9" t="s">
        <v>13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9" t="s">
        <v>47</v>
      </c>
    </row>
    <row r="5" spans="1:16" ht="21" customHeight="1">
      <c r="A5" s="11">
        <v>1</v>
      </c>
      <c r="B5" s="11">
        <v>1</v>
      </c>
      <c r="C5" s="12">
        <f>总览!$C$5+B5-1</f>
        <v>46215</v>
      </c>
      <c r="D5" s="11" t="s">
        <v>27</v>
      </c>
      <c r="E5" s="10" t="s">
        <v>48</v>
      </c>
      <c r="F5" s="10" t="s">
        <v>49</v>
      </c>
      <c r="G5" s="11" t="s">
        <v>50</v>
      </c>
      <c r="H5" s="11" t="s">
        <v>7</v>
      </c>
      <c r="I5" s="13">
        <f t="shared" ref="I5:I36" si="0">IF(H5="已完成",1,IF(H5="待审核",0.9,IF(H5="进行中",0.5,IF(H5="已阻塞",0.25,0))))</f>
        <v>1</v>
      </c>
      <c r="J5" s="11" t="s">
        <v>52</v>
      </c>
      <c r="K5" s="11" t="s">
        <v>53</v>
      </c>
      <c r="L5" s="12">
        <f t="shared" ref="L5:L36" si="1">C5</f>
        <v>46215</v>
      </c>
      <c r="M5" s="12">
        <v>46215</v>
      </c>
      <c r="N5" s="10"/>
      <c r="O5" s="10"/>
      <c r="P5" s="10"/>
    </row>
    <row r="6" spans="1:16" ht="21" customHeight="1">
      <c r="A6" s="11">
        <v>2</v>
      </c>
      <c r="B6" s="11">
        <v>1</v>
      </c>
      <c r="C6" s="12">
        <f>总览!$C$5+B6-1</f>
        <v>46215</v>
      </c>
      <c r="D6" s="11" t="s">
        <v>27</v>
      </c>
      <c r="E6" s="10" t="s">
        <v>54</v>
      </c>
      <c r="F6" s="10" t="s">
        <v>55</v>
      </c>
      <c r="G6" s="11" t="s">
        <v>50</v>
      </c>
      <c r="H6" s="11" t="s">
        <v>7</v>
      </c>
      <c r="I6" s="13">
        <f t="shared" si="0"/>
        <v>1</v>
      </c>
      <c r="J6" s="11" t="s">
        <v>56</v>
      </c>
      <c r="K6" s="11" t="s">
        <v>53</v>
      </c>
      <c r="L6" s="12">
        <f t="shared" si="1"/>
        <v>46215</v>
      </c>
      <c r="M6" s="12">
        <v>46215</v>
      </c>
      <c r="N6" s="10"/>
      <c r="O6" s="10"/>
      <c r="P6" s="10"/>
    </row>
    <row r="7" spans="1:16" ht="21" customHeight="1">
      <c r="A7" s="11">
        <v>3</v>
      </c>
      <c r="B7" s="11">
        <v>1</v>
      </c>
      <c r="C7" s="12">
        <f>总览!$C$5+B7-1</f>
        <v>46215</v>
      </c>
      <c r="D7" s="11" t="s">
        <v>27</v>
      </c>
      <c r="E7" s="10" t="s">
        <v>57</v>
      </c>
      <c r="F7" s="10" t="s">
        <v>58</v>
      </c>
      <c r="G7" s="11" t="s">
        <v>50</v>
      </c>
      <c r="H7" s="11" t="s">
        <v>7</v>
      </c>
      <c r="I7" s="13">
        <f t="shared" si="0"/>
        <v>1</v>
      </c>
      <c r="J7" s="11" t="s">
        <v>59</v>
      </c>
      <c r="K7" s="11" t="s">
        <v>53</v>
      </c>
      <c r="L7" s="12">
        <f t="shared" si="1"/>
        <v>46215</v>
      </c>
      <c r="M7" s="12"/>
      <c r="N7" s="10"/>
      <c r="O7" s="10"/>
      <c r="P7" s="10"/>
    </row>
    <row r="8" spans="1:16" ht="21" customHeight="1">
      <c r="A8" s="11">
        <v>4</v>
      </c>
      <c r="B8" s="11">
        <v>1</v>
      </c>
      <c r="C8" s="12">
        <f>总览!$C$5+B8-1</f>
        <v>46215</v>
      </c>
      <c r="D8" s="11" t="s">
        <v>27</v>
      </c>
      <c r="E8" s="10" t="s">
        <v>60</v>
      </c>
      <c r="F8" s="30" t="s">
        <v>303</v>
      </c>
      <c r="G8" s="11" t="s">
        <v>50</v>
      </c>
      <c r="H8" s="11" t="s">
        <v>7</v>
      </c>
      <c r="I8" s="13">
        <f t="shared" si="0"/>
        <v>1</v>
      </c>
      <c r="J8" s="11" t="s">
        <v>61</v>
      </c>
      <c r="K8" s="11" t="s">
        <v>53</v>
      </c>
      <c r="L8" s="12">
        <f t="shared" si="1"/>
        <v>46215</v>
      </c>
      <c r="M8" s="12"/>
      <c r="N8" s="10"/>
      <c r="O8" s="10"/>
      <c r="P8" s="10"/>
    </row>
    <row r="9" spans="1:16" ht="21" customHeight="1">
      <c r="A9" s="11">
        <v>5</v>
      </c>
      <c r="B9" s="11">
        <v>1</v>
      </c>
      <c r="C9" s="12">
        <f>总览!$C$5+B9-1</f>
        <v>46215</v>
      </c>
      <c r="D9" s="11" t="s">
        <v>21</v>
      </c>
      <c r="E9" s="10" t="s">
        <v>62</v>
      </c>
      <c r="F9" s="10" t="s">
        <v>63</v>
      </c>
      <c r="G9" s="11" t="s">
        <v>50</v>
      </c>
      <c r="H9" s="11" t="s">
        <v>7</v>
      </c>
      <c r="I9" s="13">
        <f t="shared" si="0"/>
        <v>1</v>
      </c>
      <c r="J9" s="11" t="s">
        <v>64</v>
      </c>
      <c r="K9" s="11" t="s">
        <v>53</v>
      </c>
      <c r="L9" s="12">
        <f t="shared" si="1"/>
        <v>46215</v>
      </c>
      <c r="M9" s="12"/>
      <c r="N9" s="10"/>
      <c r="O9" s="10"/>
      <c r="P9" s="10"/>
    </row>
    <row r="10" spans="1:16" ht="21" customHeight="1">
      <c r="A10" s="11">
        <v>6</v>
      </c>
      <c r="B10" s="11">
        <v>1</v>
      </c>
      <c r="C10" s="12">
        <f>总览!$C$5+B10-1</f>
        <v>46215</v>
      </c>
      <c r="D10" s="11" t="s">
        <v>21</v>
      </c>
      <c r="E10" s="10" t="s">
        <v>65</v>
      </c>
      <c r="F10" s="10" t="s">
        <v>66</v>
      </c>
      <c r="G10" s="11" t="s">
        <v>50</v>
      </c>
      <c r="H10" s="11" t="s">
        <v>51</v>
      </c>
      <c r="I10" s="13">
        <f t="shared" si="0"/>
        <v>0</v>
      </c>
      <c r="J10" s="11" t="s">
        <v>67</v>
      </c>
      <c r="K10" s="11" t="s">
        <v>53</v>
      </c>
      <c r="L10" s="12">
        <f t="shared" si="1"/>
        <v>46215</v>
      </c>
      <c r="M10" s="12"/>
      <c r="N10" s="10"/>
      <c r="O10" s="10"/>
      <c r="P10" s="10"/>
    </row>
    <row r="11" spans="1:16" ht="21" customHeight="1">
      <c r="A11" s="11">
        <v>7</v>
      </c>
      <c r="B11" s="11">
        <v>1</v>
      </c>
      <c r="C11" s="12">
        <f>总览!$C$5+B11-1</f>
        <v>46215</v>
      </c>
      <c r="D11" s="11" t="s">
        <v>21</v>
      </c>
      <c r="E11" s="10" t="s">
        <v>68</v>
      </c>
      <c r="F11" s="10" t="s">
        <v>69</v>
      </c>
      <c r="G11" s="11" t="s">
        <v>50</v>
      </c>
      <c r="H11" s="11" t="s">
        <v>51</v>
      </c>
      <c r="I11" s="13">
        <f t="shared" si="0"/>
        <v>0</v>
      </c>
      <c r="J11" s="11" t="s">
        <v>70</v>
      </c>
      <c r="K11" s="11" t="s">
        <v>53</v>
      </c>
      <c r="L11" s="12">
        <f t="shared" si="1"/>
        <v>46215</v>
      </c>
      <c r="M11" s="12"/>
      <c r="N11" s="10"/>
      <c r="O11" s="10"/>
      <c r="P11" s="10"/>
    </row>
    <row r="12" spans="1:16" ht="21" customHeight="1">
      <c r="A12" s="11">
        <v>8</v>
      </c>
      <c r="B12" s="11">
        <v>1</v>
      </c>
      <c r="C12" s="12">
        <f>总览!$C$5+B12-1</f>
        <v>46215</v>
      </c>
      <c r="D12" s="11" t="s">
        <v>23</v>
      </c>
      <c r="E12" s="10" t="s">
        <v>71</v>
      </c>
      <c r="F12" s="10" t="s">
        <v>72</v>
      </c>
      <c r="G12" s="11" t="s">
        <v>73</v>
      </c>
      <c r="H12" s="11" t="s">
        <v>51</v>
      </c>
      <c r="I12" s="13">
        <f t="shared" si="0"/>
        <v>0</v>
      </c>
      <c r="J12" s="11" t="s">
        <v>74</v>
      </c>
      <c r="K12" s="11" t="s">
        <v>53</v>
      </c>
      <c r="L12" s="12">
        <f t="shared" si="1"/>
        <v>46215</v>
      </c>
      <c r="M12" s="12"/>
      <c r="N12" s="10"/>
      <c r="O12" s="10"/>
      <c r="P12" s="10"/>
    </row>
    <row r="13" spans="1:16" ht="21" customHeight="1">
      <c r="A13" s="11">
        <v>9</v>
      </c>
      <c r="B13" s="11">
        <v>1</v>
      </c>
      <c r="C13" s="12">
        <f>总览!$C$5+B13-1</f>
        <v>46215</v>
      </c>
      <c r="D13" s="11" t="s">
        <v>23</v>
      </c>
      <c r="E13" s="10" t="s">
        <v>75</v>
      </c>
      <c r="F13" s="10" t="s">
        <v>76</v>
      </c>
      <c r="G13" s="11" t="s">
        <v>73</v>
      </c>
      <c r="H13" s="11" t="s">
        <v>51</v>
      </c>
      <c r="I13" s="13">
        <f t="shared" si="0"/>
        <v>0</v>
      </c>
      <c r="J13" s="11" t="s">
        <v>77</v>
      </c>
      <c r="K13" s="11" t="s">
        <v>53</v>
      </c>
      <c r="L13" s="12">
        <f t="shared" si="1"/>
        <v>46215</v>
      </c>
      <c r="M13" s="12"/>
      <c r="N13" s="10"/>
      <c r="O13" s="10"/>
      <c r="P13" s="10"/>
    </row>
    <row r="14" spans="1:16" ht="21" customHeight="1">
      <c r="A14" s="11">
        <v>10</v>
      </c>
      <c r="B14" s="11">
        <v>1</v>
      </c>
      <c r="C14" s="12">
        <f>总览!$C$5+B14-1</f>
        <v>46215</v>
      </c>
      <c r="D14" s="11" t="s">
        <v>23</v>
      </c>
      <c r="E14" s="10" t="s">
        <v>78</v>
      </c>
      <c r="F14" s="10" t="s">
        <v>72</v>
      </c>
      <c r="G14" s="11" t="s">
        <v>79</v>
      </c>
      <c r="H14" s="11" t="s">
        <v>51</v>
      </c>
      <c r="I14" s="13">
        <f t="shared" si="0"/>
        <v>0</v>
      </c>
      <c r="J14" s="11" t="s">
        <v>80</v>
      </c>
      <c r="K14" s="11" t="s">
        <v>53</v>
      </c>
      <c r="L14" s="12">
        <f t="shared" si="1"/>
        <v>46215</v>
      </c>
      <c r="M14" s="12"/>
      <c r="N14" s="10"/>
      <c r="O14" s="10"/>
      <c r="P14" s="10"/>
    </row>
    <row r="15" spans="1:16" ht="21" customHeight="1">
      <c r="A15" s="11">
        <v>11</v>
      </c>
      <c r="B15" s="11">
        <v>1</v>
      </c>
      <c r="C15" s="12">
        <f>总览!$C$5+B15-1</f>
        <v>46215</v>
      </c>
      <c r="D15" s="11" t="s">
        <v>23</v>
      </c>
      <c r="E15" s="10" t="s">
        <v>81</v>
      </c>
      <c r="F15" s="10" t="s">
        <v>82</v>
      </c>
      <c r="G15" s="11" t="s">
        <v>73</v>
      </c>
      <c r="H15" s="11" t="s">
        <v>51</v>
      </c>
      <c r="I15" s="13">
        <f t="shared" si="0"/>
        <v>0</v>
      </c>
      <c r="J15" s="11" t="s">
        <v>83</v>
      </c>
      <c r="K15" s="11" t="s">
        <v>53</v>
      </c>
      <c r="L15" s="12">
        <f t="shared" si="1"/>
        <v>46215</v>
      </c>
      <c r="M15" s="12"/>
      <c r="N15" s="10"/>
      <c r="O15" s="10"/>
      <c r="P15" s="10"/>
    </row>
    <row r="16" spans="1:16" ht="21" customHeight="1">
      <c r="A16" s="11">
        <v>12</v>
      </c>
      <c r="B16" s="11">
        <v>1</v>
      </c>
      <c r="C16" s="12">
        <f>总览!$C$5+B16-1</f>
        <v>46215</v>
      </c>
      <c r="D16" s="11" t="s">
        <v>23</v>
      </c>
      <c r="E16" s="10" t="s">
        <v>84</v>
      </c>
      <c r="F16" s="10" t="s">
        <v>85</v>
      </c>
      <c r="G16" s="11" t="s">
        <v>73</v>
      </c>
      <c r="H16" s="11" t="s">
        <v>51</v>
      </c>
      <c r="I16" s="13">
        <f t="shared" si="0"/>
        <v>0</v>
      </c>
      <c r="J16" s="11" t="s">
        <v>86</v>
      </c>
      <c r="K16" s="11" t="s">
        <v>53</v>
      </c>
      <c r="L16" s="12">
        <f t="shared" si="1"/>
        <v>46215</v>
      </c>
      <c r="M16" s="12"/>
      <c r="N16" s="10"/>
      <c r="O16" s="10"/>
      <c r="P16" s="10"/>
    </row>
    <row r="17" spans="1:16" ht="21" customHeight="1">
      <c r="A17" s="11">
        <v>13</v>
      </c>
      <c r="B17" s="11">
        <v>1</v>
      </c>
      <c r="C17" s="12">
        <f>总览!$C$5+B17-1</f>
        <v>46215</v>
      </c>
      <c r="D17" s="11" t="s">
        <v>23</v>
      </c>
      <c r="E17" s="10" t="s">
        <v>87</v>
      </c>
      <c r="F17" s="10" t="s">
        <v>88</v>
      </c>
      <c r="G17" s="11" t="s">
        <v>73</v>
      </c>
      <c r="H17" s="11" t="s">
        <v>51</v>
      </c>
      <c r="I17" s="13">
        <f t="shared" si="0"/>
        <v>0</v>
      </c>
      <c r="J17" s="11" t="s">
        <v>89</v>
      </c>
      <c r="K17" s="11" t="s">
        <v>53</v>
      </c>
      <c r="L17" s="12">
        <f t="shared" si="1"/>
        <v>46215</v>
      </c>
      <c r="M17" s="12"/>
      <c r="N17" s="10"/>
      <c r="O17" s="10"/>
      <c r="P17" s="10"/>
    </row>
    <row r="18" spans="1:16" ht="21" customHeight="1">
      <c r="A18" s="11">
        <v>14</v>
      </c>
      <c r="B18" s="11">
        <v>1</v>
      </c>
      <c r="C18" s="12">
        <f>总览!$C$5+B18-1</f>
        <v>46215</v>
      </c>
      <c r="D18" s="11" t="s">
        <v>27</v>
      </c>
      <c r="E18" s="10" t="s">
        <v>90</v>
      </c>
      <c r="F18" s="10" t="s">
        <v>91</v>
      </c>
      <c r="G18" s="11" t="s">
        <v>73</v>
      </c>
      <c r="H18" s="11" t="s">
        <v>51</v>
      </c>
      <c r="I18" s="13">
        <f t="shared" si="0"/>
        <v>0</v>
      </c>
      <c r="J18" s="11" t="s">
        <v>92</v>
      </c>
      <c r="K18" s="11" t="s">
        <v>53</v>
      </c>
      <c r="L18" s="12">
        <f t="shared" si="1"/>
        <v>46215</v>
      </c>
      <c r="M18" s="12"/>
      <c r="N18" s="10"/>
      <c r="O18" s="10"/>
      <c r="P18" s="10"/>
    </row>
    <row r="19" spans="1:16" ht="21" customHeight="1">
      <c r="A19" s="11">
        <v>15</v>
      </c>
      <c r="B19" s="11">
        <v>1</v>
      </c>
      <c r="C19" s="12">
        <f>总览!$C$5+B19-1</f>
        <v>46215</v>
      </c>
      <c r="D19" s="11" t="s">
        <v>29</v>
      </c>
      <c r="E19" s="10" t="s">
        <v>93</v>
      </c>
      <c r="F19" s="10" t="s">
        <v>94</v>
      </c>
      <c r="G19" s="11" t="s">
        <v>73</v>
      </c>
      <c r="H19" s="11" t="s">
        <v>51</v>
      </c>
      <c r="I19" s="13">
        <f t="shared" si="0"/>
        <v>0</v>
      </c>
      <c r="J19" s="11" t="s">
        <v>95</v>
      </c>
      <c r="K19" s="11" t="s">
        <v>53</v>
      </c>
      <c r="L19" s="12">
        <f t="shared" si="1"/>
        <v>46215</v>
      </c>
      <c r="M19" s="12"/>
      <c r="N19" s="10"/>
      <c r="O19" s="10"/>
      <c r="P19" s="10"/>
    </row>
    <row r="20" spans="1:16" ht="21" customHeight="1">
      <c r="A20" s="11">
        <v>16</v>
      </c>
      <c r="B20" s="11">
        <v>2</v>
      </c>
      <c r="C20" s="12">
        <f>总览!$C$5+B20-1</f>
        <v>46216</v>
      </c>
      <c r="D20" s="11" t="s">
        <v>19</v>
      </c>
      <c r="E20" s="10" t="s">
        <v>96</v>
      </c>
      <c r="F20" s="10" t="s">
        <v>97</v>
      </c>
      <c r="G20" s="11" t="s">
        <v>50</v>
      </c>
      <c r="H20" s="11" t="s">
        <v>51</v>
      </c>
      <c r="I20" s="13">
        <f t="shared" si="0"/>
        <v>0</v>
      </c>
      <c r="J20" s="11" t="s">
        <v>98</v>
      </c>
      <c r="K20" s="11" t="s">
        <v>53</v>
      </c>
      <c r="L20" s="12">
        <f t="shared" si="1"/>
        <v>46216</v>
      </c>
      <c r="M20" s="12"/>
      <c r="N20" s="10"/>
      <c r="O20" s="10"/>
      <c r="P20" s="10"/>
    </row>
    <row r="21" spans="1:16" ht="21" customHeight="1">
      <c r="A21" s="11">
        <v>17</v>
      </c>
      <c r="B21" s="11">
        <v>2</v>
      </c>
      <c r="C21" s="12">
        <f>总览!$C$5+B21-1</f>
        <v>46216</v>
      </c>
      <c r="D21" s="11" t="s">
        <v>19</v>
      </c>
      <c r="E21" s="10" t="s">
        <v>99</v>
      </c>
      <c r="F21" s="10" t="s">
        <v>100</v>
      </c>
      <c r="G21" s="11" t="s">
        <v>50</v>
      </c>
      <c r="H21" s="11" t="s">
        <v>7</v>
      </c>
      <c r="I21" s="13">
        <f t="shared" si="0"/>
        <v>1</v>
      </c>
      <c r="J21" s="11" t="s">
        <v>101</v>
      </c>
      <c r="K21" s="11" t="s">
        <v>53</v>
      </c>
      <c r="L21" s="12">
        <f t="shared" si="1"/>
        <v>46216</v>
      </c>
      <c r="M21" s="12"/>
      <c r="N21" s="10"/>
      <c r="O21" s="10"/>
      <c r="P21" s="10"/>
    </row>
    <row r="22" spans="1:16" ht="21" customHeight="1">
      <c r="A22" s="11">
        <v>18</v>
      </c>
      <c r="B22" s="11">
        <v>2</v>
      </c>
      <c r="C22" s="12">
        <f>总览!$C$5+B22-1</f>
        <v>46216</v>
      </c>
      <c r="D22" s="11" t="s">
        <v>29</v>
      </c>
      <c r="E22" s="10" t="s">
        <v>102</v>
      </c>
      <c r="F22" s="10" t="s">
        <v>103</v>
      </c>
      <c r="G22" s="11" t="s">
        <v>50</v>
      </c>
      <c r="H22" s="11" t="s">
        <v>220</v>
      </c>
      <c r="I22" s="13">
        <f t="shared" si="0"/>
        <v>0.5</v>
      </c>
      <c r="J22" s="11" t="s">
        <v>104</v>
      </c>
      <c r="K22" s="11" t="s">
        <v>53</v>
      </c>
      <c r="L22" s="12">
        <f t="shared" si="1"/>
        <v>46216</v>
      </c>
      <c r="M22" s="12"/>
      <c r="N22" s="10"/>
      <c r="O22" s="10"/>
      <c r="P22" s="10"/>
    </row>
    <row r="23" spans="1:16" ht="21" customHeight="1">
      <c r="A23" s="11">
        <v>19</v>
      </c>
      <c r="B23" s="11">
        <v>2</v>
      </c>
      <c r="C23" s="12">
        <f>总览!$C$5+B23-1</f>
        <v>46216</v>
      </c>
      <c r="D23" s="11" t="s">
        <v>29</v>
      </c>
      <c r="E23" s="10" t="s">
        <v>105</v>
      </c>
      <c r="F23" s="10" t="s">
        <v>106</v>
      </c>
      <c r="G23" s="11" t="s">
        <v>50</v>
      </c>
      <c r="H23" s="11" t="s">
        <v>220</v>
      </c>
      <c r="I23" s="13">
        <f t="shared" si="0"/>
        <v>0.5</v>
      </c>
      <c r="J23" s="11" t="s">
        <v>104</v>
      </c>
      <c r="K23" s="11" t="s">
        <v>53</v>
      </c>
      <c r="L23" s="12">
        <f t="shared" si="1"/>
        <v>46216</v>
      </c>
      <c r="M23" s="12"/>
      <c r="N23" s="10"/>
      <c r="O23" s="10"/>
      <c r="P23" s="10"/>
    </row>
    <row r="24" spans="1:16" ht="21" customHeight="1">
      <c r="A24" s="11">
        <v>20</v>
      </c>
      <c r="B24" s="11">
        <v>2</v>
      </c>
      <c r="C24" s="12">
        <f>总览!$C$5+B24-1</f>
        <v>46216</v>
      </c>
      <c r="D24" s="11" t="s">
        <v>29</v>
      </c>
      <c r="E24" s="10" t="s">
        <v>107</v>
      </c>
      <c r="F24" s="10" t="s">
        <v>108</v>
      </c>
      <c r="G24" s="11" t="s">
        <v>50</v>
      </c>
      <c r="H24" s="11" t="s">
        <v>220</v>
      </c>
      <c r="I24" s="13">
        <f t="shared" si="0"/>
        <v>0.5</v>
      </c>
      <c r="J24" s="11" t="s">
        <v>104</v>
      </c>
      <c r="K24" s="11" t="s">
        <v>53</v>
      </c>
      <c r="L24" s="12">
        <f t="shared" si="1"/>
        <v>46216</v>
      </c>
      <c r="M24" s="12"/>
      <c r="N24" s="10"/>
      <c r="O24" s="10"/>
      <c r="P24" s="10"/>
    </row>
    <row r="25" spans="1:16" ht="21" customHeight="1">
      <c r="A25" s="11">
        <v>21</v>
      </c>
      <c r="B25" s="11">
        <v>2</v>
      </c>
      <c r="C25" s="12">
        <f>总览!$C$5+B25-1</f>
        <v>46216</v>
      </c>
      <c r="D25" s="11" t="s">
        <v>27</v>
      </c>
      <c r="E25" s="10" t="s">
        <v>109</v>
      </c>
      <c r="F25" s="10" t="s">
        <v>110</v>
      </c>
      <c r="G25" s="11" t="s">
        <v>50</v>
      </c>
      <c r="H25" s="11" t="s">
        <v>220</v>
      </c>
      <c r="I25" s="13">
        <f t="shared" si="0"/>
        <v>0.5</v>
      </c>
      <c r="J25" s="11" t="s">
        <v>111</v>
      </c>
      <c r="K25" s="11" t="s">
        <v>53</v>
      </c>
      <c r="L25" s="12">
        <f t="shared" si="1"/>
        <v>46216</v>
      </c>
      <c r="M25" s="12"/>
      <c r="N25" s="10"/>
      <c r="O25" s="10"/>
      <c r="P25" s="10"/>
    </row>
    <row r="26" spans="1:16" ht="21" customHeight="1">
      <c r="A26" s="11">
        <v>22</v>
      </c>
      <c r="B26" s="11">
        <v>2</v>
      </c>
      <c r="C26" s="12">
        <f>总览!$C$5+B26-1</f>
        <v>46216</v>
      </c>
      <c r="D26" s="11" t="s">
        <v>21</v>
      </c>
      <c r="E26" s="10" t="s">
        <v>112</v>
      </c>
      <c r="F26" s="10" t="s">
        <v>113</v>
      </c>
      <c r="G26" s="11" t="s">
        <v>50</v>
      </c>
      <c r="H26" s="11" t="s">
        <v>51</v>
      </c>
      <c r="I26" s="13">
        <f t="shared" si="0"/>
        <v>0</v>
      </c>
      <c r="J26" s="11" t="s">
        <v>114</v>
      </c>
      <c r="K26" s="11" t="s">
        <v>53</v>
      </c>
      <c r="L26" s="12">
        <f t="shared" si="1"/>
        <v>46216</v>
      </c>
      <c r="M26" s="12"/>
      <c r="N26" s="10"/>
      <c r="O26" s="10"/>
      <c r="P26" s="10"/>
    </row>
    <row r="27" spans="1:16" ht="21" customHeight="1">
      <c r="A27" s="11">
        <v>23</v>
      </c>
      <c r="B27" s="11">
        <v>2</v>
      </c>
      <c r="C27" s="12">
        <f>总览!$C$5+B27-1</f>
        <v>46216</v>
      </c>
      <c r="D27" s="11" t="s">
        <v>23</v>
      </c>
      <c r="E27" s="10" t="s">
        <v>115</v>
      </c>
      <c r="F27" s="10" t="s">
        <v>116</v>
      </c>
      <c r="G27" s="11" t="s">
        <v>73</v>
      </c>
      <c r="H27" s="11" t="s">
        <v>51</v>
      </c>
      <c r="I27" s="13">
        <f t="shared" si="0"/>
        <v>0</v>
      </c>
      <c r="J27" s="11" t="s">
        <v>117</v>
      </c>
      <c r="K27" s="11" t="s">
        <v>53</v>
      </c>
      <c r="L27" s="12">
        <f t="shared" si="1"/>
        <v>46216</v>
      </c>
      <c r="M27" s="12"/>
      <c r="N27" s="10"/>
      <c r="O27" s="10"/>
      <c r="P27" s="10"/>
    </row>
    <row r="28" spans="1:16" ht="21" customHeight="1">
      <c r="A28" s="11">
        <v>24</v>
      </c>
      <c r="B28" s="11">
        <v>2</v>
      </c>
      <c r="C28" s="12">
        <f>总览!$C$5+B28-1</f>
        <v>46216</v>
      </c>
      <c r="D28" s="11" t="s">
        <v>19</v>
      </c>
      <c r="E28" s="10" t="s">
        <v>118</v>
      </c>
      <c r="F28" s="10" t="s">
        <v>119</v>
      </c>
      <c r="G28" s="11" t="s">
        <v>73</v>
      </c>
      <c r="H28" s="11" t="s">
        <v>51</v>
      </c>
      <c r="I28" s="13">
        <f t="shared" si="0"/>
        <v>0</v>
      </c>
      <c r="J28" s="11" t="s">
        <v>120</v>
      </c>
      <c r="K28" s="11" t="s">
        <v>53</v>
      </c>
      <c r="L28" s="12">
        <f t="shared" si="1"/>
        <v>46216</v>
      </c>
      <c r="M28" s="12"/>
      <c r="N28" s="10"/>
      <c r="O28" s="10"/>
      <c r="P28" s="10"/>
    </row>
    <row r="29" spans="1:16" ht="21" customHeight="1">
      <c r="A29" s="11">
        <v>25</v>
      </c>
      <c r="B29" s="11">
        <v>3</v>
      </c>
      <c r="C29" s="12">
        <f>总览!$C$5+B29-1</f>
        <v>46217</v>
      </c>
      <c r="D29" s="11" t="s">
        <v>23</v>
      </c>
      <c r="E29" s="10" t="s">
        <v>121</v>
      </c>
      <c r="F29" s="10" t="s">
        <v>122</v>
      </c>
      <c r="G29" s="11" t="s">
        <v>50</v>
      </c>
      <c r="H29" s="11" t="s">
        <v>51</v>
      </c>
      <c r="I29" s="13">
        <f t="shared" si="0"/>
        <v>0</v>
      </c>
      <c r="J29" s="11" t="s">
        <v>123</v>
      </c>
      <c r="K29" s="11" t="s">
        <v>53</v>
      </c>
      <c r="L29" s="12">
        <f t="shared" si="1"/>
        <v>46217</v>
      </c>
      <c r="M29" s="12"/>
      <c r="N29" s="10"/>
      <c r="O29" s="10"/>
      <c r="P29" s="10"/>
    </row>
    <row r="30" spans="1:16" ht="21" customHeight="1">
      <c r="A30" s="11">
        <v>26</v>
      </c>
      <c r="B30" s="11">
        <v>3</v>
      </c>
      <c r="C30" s="12">
        <f>总览!$C$5+B30-1</f>
        <v>46217</v>
      </c>
      <c r="D30" s="11" t="s">
        <v>23</v>
      </c>
      <c r="E30" s="10" t="s">
        <v>124</v>
      </c>
      <c r="F30" s="10" t="s">
        <v>125</v>
      </c>
      <c r="G30" s="11" t="s">
        <v>50</v>
      </c>
      <c r="H30" s="11" t="s">
        <v>51</v>
      </c>
      <c r="I30" s="13">
        <f t="shared" si="0"/>
        <v>0</v>
      </c>
      <c r="J30" s="11" t="s">
        <v>126</v>
      </c>
      <c r="K30" s="11" t="s">
        <v>53</v>
      </c>
      <c r="L30" s="12">
        <f t="shared" si="1"/>
        <v>46217</v>
      </c>
      <c r="M30" s="12"/>
      <c r="N30" s="10"/>
      <c r="O30" s="10"/>
      <c r="P30" s="10"/>
    </row>
    <row r="31" spans="1:16" ht="21" customHeight="1">
      <c r="A31" s="11">
        <v>27</v>
      </c>
      <c r="B31" s="11">
        <v>3</v>
      </c>
      <c r="C31" s="12">
        <f>总览!$C$5+B31-1</f>
        <v>46217</v>
      </c>
      <c r="D31" s="11" t="s">
        <v>23</v>
      </c>
      <c r="E31" s="10" t="s">
        <v>127</v>
      </c>
      <c r="F31" s="10" t="s">
        <v>128</v>
      </c>
      <c r="G31" s="11" t="s">
        <v>73</v>
      </c>
      <c r="H31" s="11" t="s">
        <v>51</v>
      </c>
      <c r="I31" s="13">
        <f t="shared" si="0"/>
        <v>0</v>
      </c>
      <c r="J31" s="11" t="s">
        <v>89</v>
      </c>
      <c r="K31" s="11" t="s">
        <v>53</v>
      </c>
      <c r="L31" s="12">
        <f t="shared" si="1"/>
        <v>46217</v>
      </c>
      <c r="M31" s="12"/>
      <c r="N31" s="10"/>
      <c r="O31" s="10"/>
      <c r="P31" s="10"/>
    </row>
    <row r="32" spans="1:16" ht="21" customHeight="1">
      <c r="A32" s="11">
        <v>28</v>
      </c>
      <c r="B32" s="11">
        <v>3</v>
      </c>
      <c r="C32" s="12">
        <f>总览!$C$5+B32-1</f>
        <v>46217</v>
      </c>
      <c r="D32" s="11" t="s">
        <v>25</v>
      </c>
      <c r="E32" s="10" t="s">
        <v>129</v>
      </c>
      <c r="F32" s="10" t="s">
        <v>130</v>
      </c>
      <c r="G32" s="11" t="s">
        <v>73</v>
      </c>
      <c r="H32" s="11" t="s">
        <v>51</v>
      </c>
      <c r="I32" s="13">
        <f t="shared" si="0"/>
        <v>0</v>
      </c>
      <c r="J32" s="11" t="s">
        <v>86</v>
      </c>
      <c r="K32" s="11" t="s">
        <v>53</v>
      </c>
      <c r="L32" s="12">
        <f t="shared" si="1"/>
        <v>46217</v>
      </c>
      <c r="M32" s="12"/>
      <c r="N32" s="10"/>
      <c r="O32" s="10"/>
      <c r="P32" s="10"/>
    </row>
    <row r="33" spans="1:16" ht="21" customHeight="1">
      <c r="A33" s="11">
        <v>29</v>
      </c>
      <c r="B33" s="11">
        <v>3</v>
      </c>
      <c r="C33" s="12">
        <f>总览!$C$5+B33-1</f>
        <v>46217</v>
      </c>
      <c r="D33" s="11" t="s">
        <v>23</v>
      </c>
      <c r="E33" s="10" t="s">
        <v>131</v>
      </c>
      <c r="F33" s="10" t="s">
        <v>132</v>
      </c>
      <c r="G33" s="11" t="s">
        <v>73</v>
      </c>
      <c r="H33" s="11" t="s">
        <v>51</v>
      </c>
      <c r="I33" s="13">
        <f t="shared" si="0"/>
        <v>0</v>
      </c>
      <c r="J33" s="11" t="s">
        <v>133</v>
      </c>
      <c r="K33" s="11" t="s">
        <v>53</v>
      </c>
      <c r="L33" s="12">
        <f t="shared" si="1"/>
        <v>46217</v>
      </c>
      <c r="M33" s="12"/>
      <c r="N33" s="10"/>
      <c r="O33" s="10"/>
      <c r="P33" s="10"/>
    </row>
    <row r="34" spans="1:16" ht="21" customHeight="1">
      <c r="A34" s="11">
        <v>30</v>
      </c>
      <c r="B34" s="11">
        <v>3</v>
      </c>
      <c r="C34" s="12">
        <f>总览!$C$5+B34-1</f>
        <v>46217</v>
      </c>
      <c r="D34" s="11" t="s">
        <v>25</v>
      </c>
      <c r="E34" s="10" t="s">
        <v>134</v>
      </c>
      <c r="F34" s="10" t="s">
        <v>135</v>
      </c>
      <c r="G34" s="11" t="s">
        <v>73</v>
      </c>
      <c r="H34" s="11" t="s">
        <v>51</v>
      </c>
      <c r="I34" s="13">
        <f t="shared" si="0"/>
        <v>0</v>
      </c>
      <c r="J34" s="11" t="s">
        <v>136</v>
      </c>
      <c r="K34" s="11" t="s">
        <v>53</v>
      </c>
      <c r="L34" s="12">
        <f t="shared" si="1"/>
        <v>46217</v>
      </c>
      <c r="M34" s="12"/>
      <c r="N34" s="10"/>
      <c r="O34" s="10"/>
      <c r="P34" s="10"/>
    </row>
    <row r="35" spans="1:16" ht="21" customHeight="1">
      <c r="A35" s="11">
        <v>31</v>
      </c>
      <c r="B35" s="11">
        <v>4</v>
      </c>
      <c r="C35" s="12">
        <f>总览!$C$5+B35-1</f>
        <v>46218</v>
      </c>
      <c r="D35" s="11" t="s">
        <v>21</v>
      </c>
      <c r="E35" s="10" t="s">
        <v>137</v>
      </c>
      <c r="F35" s="10" t="s">
        <v>138</v>
      </c>
      <c r="G35" s="11" t="s">
        <v>50</v>
      </c>
      <c r="H35" s="11" t="s">
        <v>51</v>
      </c>
      <c r="I35" s="13">
        <f t="shared" si="0"/>
        <v>0</v>
      </c>
      <c r="J35" s="11" t="s">
        <v>70</v>
      </c>
      <c r="K35" s="11" t="s">
        <v>53</v>
      </c>
      <c r="L35" s="12">
        <f t="shared" si="1"/>
        <v>46218</v>
      </c>
      <c r="M35" s="12"/>
      <c r="N35" s="10"/>
      <c r="O35" s="10"/>
      <c r="P35" s="10"/>
    </row>
    <row r="36" spans="1:16" ht="21" customHeight="1">
      <c r="A36" s="11">
        <v>32</v>
      </c>
      <c r="B36" s="11">
        <v>4</v>
      </c>
      <c r="C36" s="12">
        <f>总览!$C$5+B36-1</f>
        <v>46218</v>
      </c>
      <c r="D36" s="11" t="s">
        <v>23</v>
      </c>
      <c r="E36" s="10" t="s">
        <v>139</v>
      </c>
      <c r="F36" s="10" t="s">
        <v>140</v>
      </c>
      <c r="G36" s="11" t="s">
        <v>50</v>
      </c>
      <c r="H36" s="11" t="s">
        <v>51</v>
      </c>
      <c r="I36" s="13">
        <f t="shared" si="0"/>
        <v>0</v>
      </c>
      <c r="J36" s="11" t="s">
        <v>74</v>
      </c>
      <c r="K36" s="11" t="s">
        <v>53</v>
      </c>
      <c r="L36" s="12">
        <f t="shared" si="1"/>
        <v>46218</v>
      </c>
      <c r="M36" s="12"/>
      <c r="N36" s="10"/>
      <c r="O36" s="10"/>
      <c r="P36" s="10"/>
    </row>
    <row r="37" spans="1:16" ht="21" customHeight="1">
      <c r="A37" s="11">
        <v>33</v>
      </c>
      <c r="B37" s="11">
        <v>4</v>
      </c>
      <c r="C37" s="12">
        <f>总览!$C$5+B37-1</f>
        <v>46218</v>
      </c>
      <c r="D37" s="11" t="s">
        <v>23</v>
      </c>
      <c r="E37" s="10" t="s">
        <v>141</v>
      </c>
      <c r="F37" s="10" t="s">
        <v>142</v>
      </c>
      <c r="G37" s="11" t="s">
        <v>50</v>
      </c>
      <c r="H37" s="11" t="s">
        <v>51</v>
      </c>
      <c r="I37" s="13">
        <f t="shared" ref="I37:I68" si="2">IF(H37="已完成",1,IF(H37="待审核",0.9,IF(H37="进行中",0.5,IF(H37="已阻塞",0.25,0))))</f>
        <v>0</v>
      </c>
      <c r="J37" s="11" t="s">
        <v>77</v>
      </c>
      <c r="K37" s="11" t="s">
        <v>53</v>
      </c>
      <c r="L37" s="12">
        <f t="shared" ref="L37:L56" si="3">C37</f>
        <v>46218</v>
      </c>
      <c r="M37" s="12"/>
      <c r="N37" s="10"/>
      <c r="O37" s="10"/>
      <c r="P37" s="10"/>
    </row>
    <row r="38" spans="1:16" ht="21" customHeight="1">
      <c r="A38" s="11">
        <v>34</v>
      </c>
      <c r="B38" s="11">
        <v>4</v>
      </c>
      <c r="C38" s="12">
        <f>总览!$C$5+B38-1</f>
        <v>46218</v>
      </c>
      <c r="D38" s="11" t="s">
        <v>25</v>
      </c>
      <c r="E38" s="10" t="s">
        <v>143</v>
      </c>
      <c r="F38" s="10" t="s">
        <v>144</v>
      </c>
      <c r="G38" s="11" t="s">
        <v>50</v>
      </c>
      <c r="H38" s="11" t="s">
        <v>51</v>
      </c>
      <c r="I38" s="13">
        <f t="shared" si="2"/>
        <v>0</v>
      </c>
      <c r="J38" s="11" t="s">
        <v>145</v>
      </c>
      <c r="K38" s="11" t="s">
        <v>53</v>
      </c>
      <c r="L38" s="12">
        <f t="shared" si="3"/>
        <v>46218</v>
      </c>
      <c r="M38" s="12"/>
      <c r="N38" s="10"/>
      <c r="O38" s="10"/>
      <c r="P38" s="10"/>
    </row>
    <row r="39" spans="1:16" ht="21" customHeight="1">
      <c r="A39" s="11">
        <v>35</v>
      </c>
      <c r="B39" s="11">
        <v>4</v>
      </c>
      <c r="C39" s="12">
        <f>总览!$C$5+B39-1</f>
        <v>46218</v>
      </c>
      <c r="D39" s="11" t="s">
        <v>23</v>
      </c>
      <c r="E39" s="10" t="s">
        <v>146</v>
      </c>
      <c r="F39" s="10" t="s">
        <v>147</v>
      </c>
      <c r="G39" s="11" t="s">
        <v>73</v>
      </c>
      <c r="H39" s="11" t="s">
        <v>51</v>
      </c>
      <c r="I39" s="13">
        <f t="shared" si="2"/>
        <v>0</v>
      </c>
      <c r="J39" s="11" t="s">
        <v>148</v>
      </c>
      <c r="K39" s="11" t="s">
        <v>53</v>
      </c>
      <c r="L39" s="12">
        <f t="shared" si="3"/>
        <v>46218</v>
      </c>
      <c r="M39" s="12"/>
      <c r="N39" s="10"/>
      <c r="O39" s="10"/>
      <c r="P39" s="10"/>
    </row>
    <row r="40" spans="1:16" ht="21" customHeight="1">
      <c r="A40" s="11">
        <v>36</v>
      </c>
      <c r="B40" s="11">
        <v>4</v>
      </c>
      <c r="C40" s="12">
        <f>总览!$C$5+B40-1</f>
        <v>46218</v>
      </c>
      <c r="D40" s="11" t="s">
        <v>19</v>
      </c>
      <c r="E40" s="10" t="s">
        <v>149</v>
      </c>
      <c r="F40" s="10" t="s">
        <v>150</v>
      </c>
      <c r="G40" s="11" t="s">
        <v>50</v>
      </c>
      <c r="H40" s="11" t="s">
        <v>51</v>
      </c>
      <c r="I40" s="13">
        <f t="shared" si="2"/>
        <v>0</v>
      </c>
      <c r="J40" s="11" t="s">
        <v>151</v>
      </c>
      <c r="K40" s="11" t="s">
        <v>53</v>
      </c>
      <c r="L40" s="12">
        <f t="shared" si="3"/>
        <v>46218</v>
      </c>
      <c r="M40" s="12"/>
      <c r="N40" s="10"/>
      <c r="O40" s="10"/>
      <c r="P40" s="10"/>
    </row>
    <row r="41" spans="1:16" ht="21" customHeight="1">
      <c r="A41" s="11">
        <v>37</v>
      </c>
      <c r="B41" s="11">
        <v>5</v>
      </c>
      <c r="C41" s="12">
        <f>总览!$C$5+B41-1</f>
        <v>46219</v>
      </c>
      <c r="D41" s="11" t="s">
        <v>23</v>
      </c>
      <c r="E41" s="10" t="s">
        <v>152</v>
      </c>
      <c r="F41" s="10" t="s">
        <v>153</v>
      </c>
      <c r="G41" s="11" t="s">
        <v>73</v>
      </c>
      <c r="H41" s="11" t="s">
        <v>51</v>
      </c>
      <c r="I41" s="13">
        <f t="shared" si="2"/>
        <v>0</v>
      </c>
      <c r="J41" s="11" t="s">
        <v>154</v>
      </c>
      <c r="K41" s="11" t="s">
        <v>53</v>
      </c>
      <c r="L41" s="12">
        <f t="shared" si="3"/>
        <v>46219</v>
      </c>
      <c r="M41" s="12"/>
      <c r="N41" s="10"/>
      <c r="O41" s="10"/>
      <c r="P41" s="10"/>
    </row>
    <row r="42" spans="1:16" ht="21" customHeight="1">
      <c r="A42" s="11">
        <v>38</v>
      </c>
      <c r="B42" s="11">
        <v>5</v>
      </c>
      <c r="C42" s="12">
        <f>总览!$C$5+B42-1</f>
        <v>46219</v>
      </c>
      <c r="D42" s="11" t="s">
        <v>23</v>
      </c>
      <c r="E42" s="10" t="s">
        <v>155</v>
      </c>
      <c r="F42" s="10" t="s">
        <v>156</v>
      </c>
      <c r="G42" s="11" t="s">
        <v>73</v>
      </c>
      <c r="H42" s="11" t="s">
        <v>51</v>
      </c>
      <c r="I42" s="13">
        <f t="shared" si="2"/>
        <v>0</v>
      </c>
      <c r="J42" s="11" t="s">
        <v>157</v>
      </c>
      <c r="K42" s="11" t="s">
        <v>53</v>
      </c>
      <c r="L42" s="12">
        <f t="shared" si="3"/>
        <v>46219</v>
      </c>
      <c r="M42" s="12"/>
      <c r="N42" s="10"/>
      <c r="O42" s="10"/>
      <c r="P42" s="10"/>
    </row>
    <row r="43" spans="1:16" ht="21" customHeight="1">
      <c r="A43" s="11">
        <v>39</v>
      </c>
      <c r="B43" s="11">
        <v>5</v>
      </c>
      <c r="C43" s="12">
        <f>总览!$C$5+B43-1</f>
        <v>46219</v>
      </c>
      <c r="D43" s="11" t="s">
        <v>25</v>
      </c>
      <c r="E43" s="10" t="s">
        <v>158</v>
      </c>
      <c r="F43" s="10" t="s">
        <v>159</v>
      </c>
      <c r="G43" s="11" t="s">
        <v>50</v>
      </c>
      <c r="H43" s="11" t="s">
        <v>51</v>
      </c>
      <c r="I43" s="13">
        <f t="shared" si="2"/>
        <v>0</v>
      </c>
      <c r="J43" s="11" t="s">
        <v>145</v>
      </c>
      <c r="K43" s="11" t="s">
        <v>53</v>
      </c>
      <c r="L43" s="12">
        <f t="shared" si="3"/>
        <v>46219</v>
      </c>
      <c r="M43" s="12"/>
      <c r="N43" s="10"/>
      <c r="O43" s="10"/>
      <c r="P43" s="10"/>
    </row>
    <row r="44" spans="1:16" ht="21" customHeight="1">
      <c r="A44" s="11">
        <v>40</v>
      </c>
      <c r="B44" s="11">
        <v>5</v>
      </c>
      <c r="C44" s="12">
        <f>总览!$C$5+B44-1</f>
        <v>46219</v>
      </c>
      <c r="D44" s="11" t="s">
        <v>25</v>
      </c>
      <c r="E44" s="10" t="s">
        <v>160</v>
      </c>
      <c r="F44" s="10" t="s">
        <v>161</v>
      </c>
      <c r="G44" s="11" t="s">
        <v>73</v>
      </c>
      <c r="H44" s="11" t="s">
        <v>51</v>
      </c>
      <c r="I44" s="13">
        <f t="shared" si="2"/>
        <v>0</v>
      </c>
      <c r="J44" s="11" t="s">
        <v>162</v>
      </c>
      <c r="K44" s="11" t="s">
        <v>53</v>
      </c>
      <c r="L44" s="12">
        <f t="shared" si="3"/>
        <v>46219</v>
      </c>
      <c r="M44" s="12"/>
      <c r="N44" s="10"/>
      <c r="O44" s="10"/>
      <c r="P44" s="10"/>
    </row>
    <row r="45" spans="1:16" ht="21" customHeight="1">
      <c r="A45" s="11">
        <v>41</v>
      </c>
      <c r="B45" s="11">
        <v>5</v>
      </c>
      <c r="C45" s="12">
        <f>总览!$C$5+B45-1</f>
        <v>46219</v>
      </c>
      <c r="D45" s="11" t="s">
        <v>25</v>
      </c>
      <c r="E45" s="10" t="s">
        <v>163</v>
      </c>
      <c r="F45" s="10" t="s">
        <v>164</v>
      </c>
      <c r="G45" s="11" t="s">
        <v>73</v>
      </c>
      <c r="H45" s="11" t="s">
        <v>51</v>
      </c>
      <c r="I45" s="13">
        <f t="shared" si="2"/>
        <v>0</v>
      </c>
      <c r="J45" s="11" t="s">
        <v>165</v>
      </c>
      <c r="K45" s="11" t="s">
        <v>53</v>
      </c>
      <c r="L45" s="12">
        <f t="shared" si="3"/>
        <v>46219</v>
      </c>
      <c r="M45" s="12"/>
      <c r="N45" s="10"/>
      <c r="O45" s="10"/>
      <c r="P45" s="10"/>
    </row>
    <row r="46" spans="1:16" ht="21" customHeight="1">
      <c r="A46" s="11">
        <v>42</v>
      </c>
      <c r="B46" s="11">
        <v>6</v>
      </c>
      <c r="C46" s="12">
        <f>总览!$C$5+B46-1</f>
        <v>46220</v>
      </c>
      <c r="D46" s="11" t="s">
        <v>23</v>
      </c>
      <c r="E46" s="10" t="s">
        <v>166</v>
      </c>
      <c r="F46" s="10" t="s">
        <v>167</v>
      </c>
      <c r="G46" s="11" t="s">
        <v>50</v>
      </c>
      <c r="H46" s="11" t="s">
        <v>51</v>
      </c>
      <c r="I46" s="13">
        <f t="shared" si="2"/>
        <v>0</v>
      </c>
      <c r="J46" s="11" t="s">
        <v>168</v>
      </c>
      <c r="K46" s="11" t="s">
        <v>53</v>
      </c>
      <c r="L46" s="12">
        <f t="shared" si="3"/>
        <v>46220</v>
      </c>
      <c r="M46" s="12"/>
      <c r="N46" s="10"/>
      <c r="O46" s="10"/>
      <c r="P46" s="10"/>
    </row>
    <row r="47" spans="1:16" ht="21" customHeight="1">
      <c r="A47" s="11">
        <v>43</v>
      </c>
      <c r="B47" s="11">
        <v>6</v>
      </c>
      <c r="C47" s="12">
        <f>总览!$C$5+B47-1</f>
        <v>46220</v>
      </c>
      <c r="D47" s="11" t="s">
        <v>23</v>
      </c>
      <c r="E47" s="10" t="s">
        <v>169</v>
      </c>
      <c r="F47" s="10" t="s">
        <v>170</v>
      </c>
      <c r="G47" s="11" t="s">
        <v>73</v>
      </c>
      <c r="H47" s="11" t="s">
        <v>51</v>
      </c>
      <c r="I47" s="13">
        <f t="shared" si="2"/>
        <v>0</v>
      </c>
      <c r="J47" s="11" t="s">
        <v>171</v>
      </c>
      <c r="K47" s="11" t="s">
        <v>53</v>
      </c>
      <c r="L47" s="12">
        <f t="shared" si="3"/>
        <v>46220</v>
      </c>
      <c r="M47" s="12"/>
      <c r="N47" s="10"/>
      <c r="O47" s="10"/>
      <c r="P47" s="10"/>
    </row>
    <row r="48" spans="1:16" ht="21" customHeight="1">
      <c r="A48" s="11">
        <v>44</v>
      </c>
      <c r="B48" s="11">
        <v>6</v>
      </c>
      <c r="C48" s="12">
        <f>总览!$C$5+B48-1</f>
        <v>46220</v>
      </c>
      <c r="D48" s="11" t="s">
        <v>23</v>
      </c>
      <c r="E48" s="10" t="s">
        <v>172</v>
      </c>
      <c r="F48" s="10" t="s">
        <v>173</v>
      </c>
      <c r="G48" s="11" t="s">
        <v>73</v>
      </c>
      <c r="H48" s="11" t="s">
        <v>51</v>
      </c>
      <c r="I48" s="13">
        <f t="shared" si="2"/>
        <v>0</v>
      </c>
      <c r="J48" s="11" t="s">
        <v>148</v>
      </c>
      <c r="K48" s="11" t="s">
        <v>53</v>
      </c>
      <c r="L48" s="12">
        <f t="shared" si="3"/>
        <v>46220</v>
      </c>
      <c r="M48" s="12"/>
      <c r="N48" s="10"/>
      <c r="O48" s="10"/>
      <c r="P48" s="10"/>
    </row>
    <row r="49" spans="1:16" ht="21" customHeight="1">
      <c r="A49" s="11">
        <v>45</v>
      </c>
      <c r="B49" s="11">
        <v>6</v>
      </c>
      <c r="C49" s="12">
        <f>总览!$C$5+B49-1</f>
        <v>46220</v>
      </c>
      <c r="D49" s="11" t="s">
        <v>21</v>
      </c>
      <c r="E49" s="10" t="s">
        <v>174</v>
      </c>
      <c r="F49" s="10" t="s">
        <v>175</v>
      </c>
      <c r="G49" s="11" t="s">
        <v>73</v>
      </c>
      <c r="H49" s="11" t="s">
        <v>51</v>
      </c>
      <c r="I49" s="13">
        <f t="shared" si="2"/>
        <v>0</v>
      </c>
      <c r="J49" s="11" t="s">
        <v>176</v>
      </c>
      <c r="K49" s="11" t="s">
        <v>53</v>
      </c>
      <c r="L49" s="12">
        <f t="shared" si="3"/>
        <v>46220</v>
      </c>
      <c r="M49" s="12"/>
      <c r="N49" s="10"/>
      <c r="O49" s="10"/>
      <c r="P49" s="10"/>
    </row>
    <row r="50" spans="1:16" ht="21" customHeight="1">
      <c r="A50" s="11">
        <v>46</v>
      </c>
      <c r="B50" s="11">
        <v>6</v>
      </c>
      <c r="C50" s="12">
        <f>总览!$C$5+B50-1</f>
        <v>46220</v>
      </c>
      <c r="D50" s="11" t="s">
        <v>23</v>
      </c>
      <c r="E50" s="10" t="s">
        <v>177</v>
      </c>
      <c r="F50" s="10" t="s">
        <v>178</v>
      </c>
      <c r="G50" s="11" t="s">
        <v>50</v>
      </c>
      <c r="H50" s="11" t="s">
        <v>51</v>
      </c>
      <c r="I50" s="13">
        <f t="shared" si="2"/>
        <v>0</v>
      </c>
      <c r="J50" s="11" t="s">
        <v>179</v>
      </c>
      <c r="K50" s="11" t="s">
        <v>53</v>
      </c>
      <c r="L50" s="12">
        <f t="shared" si="3"/>
        <v>46220</v>
      </c>
      <c r="M50" s="12"/>
      <c r="N50" s="10"/>
      <c r="O50" s="10"/>
      <c r="P50" s="10"/>
    </row>
    <row r="51" spans="1:16" ht="21" customHeight="1">
      <c r="A51" s="11">
        <v>47</v>
      </c>
      <c r="B51" s="11">
        <v>7</v>
      </c>
      <c r="C51" s="12">
        <f>总览!$C$5+B51-1</f>
        <v>46221</v>
      </c>
      <c r="D51" s="11" t="s">
        <v>19</v>
      </c>
      <c r="E51" s="10" t="s">
        <v>180</v>
      </c>
      <c r="F51" s="10" t="s">
        <v>181</v>
      </c>
      <c r="G51" s="11" t="s">
        <v>50</v>
      </c>
      <c r="H51" s="11" t="s">
        <v>51</v>
      </c>
      <c r="I51" s="13">
        <f t="shared" si="2"/>
        <v>0</v>
      </c>
      <c r="J51" s="11" t="s">
        <v>182</v>
      </c>
      <c r="K51" s="11" t="s">
        <v>53</v>
      </c>
      <c r="L51" s="12">
        <f t="shared" si="3"/>
        <v>46221</v>
      </c>
      <c r="M51" s="12"/>
      <c r="N51" s="10"/>
      <c r="O51" s="10"/>
      <c r="P51" s="10"/>
    </row>
    <row r="52" spans="1:16" ht="21" customHeight="1">
      <c r="A52" s="11">
        <v>48</v>
      </c>
      <c r="B52" s="11">
        <v>7</v>
      </c>
      <c r="C52" s="12">
        <f>总览!$C$5+B52-1</f>
        <v>46221</v>
      </c>
      <c r="D52" s="11" t="s">
        <v>21</v>
      </c>
      <c r="E52" s="10" t="s">
        <v>183</v>
      </c>
      <c r="F52" s="10" t="s">
        <v>184</v>
      </c>
      <c r="G52" s="11" t="s">
        <v>50</v>
      </c>
      <c r="H52" s="11" t="s">
        <v>51</v>
      </c>
      <c r="I52" s="13">
        <f t="shared" si="2"/>
        <v>0</v>
      </c>
      <c r="J52" s="11" t="s">
        <v>70</v>
      </c>
      <c r="K52" s="11" t="s">
        <v>53</v>
      </c>
      <c r="L52" s="12">
        <f t="shared" si="3"/>
        <v>46221</v>
      </c>
      <c r="M52" s="12"/>
      <c r="N52" s="10"/>
      <c r="O52" s="10"/>
      <c r="P52" s="10"/>
    </row>
    <row r="53" spans="1:16" ht="21" customHeight="1">
      <c r="A53" s="11">
        <v>49</v>
      </c>
      <c r="B53" s="11">
        <v>7</v>
      </c>
      <c r="C53" s="12">
        <f>总览!$C$5+B53-1</f>
        <v>46221</v>
      </c>
      <c r="D53" s="11" t="s">
        <v>21</v>
      </c>
      <c r="E53" s="10" t="s">
        <v>185</v>
      </c>
      <c r="F53" s="10" t="s">
        <v>186</v>
      </c>
      <c r="G53" s="11" t="s">
        <v>50</v>
      </c>
      <c r="H53" s="11" t="s">
        <v>51</v>
      </c>
      <c r="I53" s="13">
        <f t="shared" si="2"/>
        <v>0</v>
      </c>
      <c r="J53" s="11" t="s">
        <v>187</v>
      </c>
      <c r="K53" s="11" t="s">
        <v>53</v>
      </c>
      <c r="L53" s="12">
        <f t="shared" si="3"/>
        <v>46221</v>
      </c>
      <c r="M53" s="12"/>
      <c r="N53" s="10"/>
      <c r="O53" s="10"/>
      <c r="P53" s="10"/>
    </row>
    <row r="54" spans="1:16" ht="21" customHeight="1">
      <c r="A54" s="11">
        <v>50</v>
      </c>
      <c r="B54" s="11">
        <v>7</v>
      </c>
      <c r="C54" s="12">
        <f>总览!$C$5+B54-1</f>
        <v>46221</v>
      </c>
      <c r="D54" s="11" t="s">
        <v>23</v>
      </c>
      <c r="E54" s="10" t="s">
        <v>188</v>
      </c>
      <c r="F54" s="10" t="s">
        <v>189</v>
      </c>
      <c r="G54" s="11" t="s">
        <v>50</v>
      </c>
      <c r="H54" s="11" t="s">
        <v>51</v>
      </c>
      <c r="I54" s="13">
        <f t="shared" si="2"/>
        <v>0</v>
      </c>
      <c r="J54" s="11" t="s">
        <v>190</v>
      </c>
      <c r="K54" s="11" t="s">
        <v>53</v>
      </c>
      <c r="L54" s="12">
        <f t="shared" si="3"/>
        <v>46221</v>
      </c>
      <c r="M54" s="12"/>
      <c r="N54" s="10"/>
      <c r="O54" s="10"/>
      <c r="P54" s="10"/>
    </row>
    <row r="55" spans="1:16" ht="21" customHeight="1">
      <c r="A55" s="11">
        <v>51</v>
      </c>
      <c r="B55" s="11">
        <v>7</v>
      </c>
      <c r="C55" s="12">
        <f>总览!$C$5+B55-1</f>
        <v>46221</v>
      </c>
      <c r="D55" s="11" t="s">
        <v>25</v>
      </c>
      <c r="E55" s="10" t="s">
        <v>191</v>
      </c>
      <c r="F55" s="10" t="s">
        <v>192</v>
      </c>
      <c r="G55" s="11" t="s">
        <v>50</v>
      </c>
      <c r="H55" s="11" t="s">
        <v>51</v>
      </c>
      <c r="I55" s="13">
        <f t="shared" si="2"/>
        <v>0</v>
      </c>
      <c r="J55" s="11" t="s">
        <v>193</v>
      </c>
      <c r="K55" s="11" t="s">
        <v>53</v>
      </c>
      <c r="L55" s="12">
        <f t="shared" si="3"/>
        <v>46221</v>
      </c>
      <c r="M55" s="12"/>
      <c r="N55" s="10"/>
      <c r="O55" s="10"/>
      <c r="P55" s="10"/>
    </row>
    <row r="56" spans="1:16" ht="21" customHeight="1">
      <c r="A56" s="11">
        <v>52</v>
      </c>
      <c r="B56" s="11">
        <v>7</v>
      </c>
      <c r="C56" s="12">
        <f>总览!$C$5+B56-1</f>
        <v>46221</v>
      </c>
      <c r="D56" s="11" t="s">
        <v>25</v>
      </c>
      <c r="E56" s="10" t="s">
        <v>194</v>
      </c>
      <c r="F56" s="10" t="s">
        <v>195</v>
      </c>
      <c r="G56" s="11" t="s">
        <v>50</v>
      </c>
      <c r="H56" s="11" t="s">
        <v>51</v>
      </c>
      <c r="I56" s="13">
        <f t="shared" si="2"/>
        <v>0</v>
      </c>
      <c r="J56" s="11" t="s">
        <v>196</v>
      </c>
      <c r="K56" s="11" t="s">
        <v>53</v>
      </c>
      <c r="L56" s="12">
        <f t="shared" si="3"/>
        <v>46221</v>
      </c>
      <c r="M56" s="12"/>
      <c r="N56" s="10"/>
      <c r="O56" s="10"/>
      <c r="P56" s="10"/>
    </row>
  </sheetData>
  <mergeCells count="2">
    <mergeCell ref="A1:P2"/>
    <mergeCell ref="A3:P3"/>
  </mergeCells>
  <phoneticPr fontId="22" type="noConversion"/>
  <conditionalFormatting sqref="G5:G56">
    <cfRule type="expression" dxfId="13" priority="7">
      <formula>G5="P0"</formula>
    </cfRule>
    <cfRule type="expression" dxfId="12" priority="8">
      <formula>G5="P1"</formula>
    </cfRule>
    <cfRule type="expression" dxfId="11" priority="9">
      <formula>G5="P2"</formula>
    </cfRule>
  </conditionalFormatting>
  <conditionalFormatting sqref="H5:H56">
    <cfRule type="expression" dxfId="10" priority="2">
      <formula>H5="已完成"</formula>
    </cfRule>
    <cfRule type="expression" dxfId="9" priority="3">
      <formula>H5="进行中"</formula>
    </cfRule>
    <cfRule type="expression" dxfId="8" priority="4">
      <formula>H5="待审核"</formula>
    </cfRule>
    <cfRule type="expression" dxfId="7" priority="5">
      <formula>H5="已阻塞"</formula>
    </cfRule>
    <cfRule type="expression" dxfId="6" priority="6">
      <formula>H5="未开始"</formula>
    </cfRule>
  </conditionalFormatting>
  <conditionalFormatting sqref="I5:I56">
    <cfRule type="dataBar" priority="1">
      <dataBar>
        <cfvo type="min"/>
        <cfvo type="max"/>
        <color rgb="FF7C3AED"/>
      </dataBar>
    </cfRule>
    <cfRule type="dataBar" priority="11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{DA5B03D3-CCC9-9FC4-27C1-955FAF91639A}</x14:id>
        </ext>
      </extLst>
    </cfRule>
  </conditionalFormatting>
  <dataValidations count="2">
    <dataValidation type="list" sqref="G5:G56" xr:uid="{00000000-0002-0000-0100-000000000000}">
      <formula1>"P0,P1,P2"</formula1>
    </dataValidation>
    <dataValidation type="list" sqref="H5:H56" xr:uid="{00000000-0002-0000-0100-000001000000}">
      <formula1>"未开始,进行中,待审核,已完成,已阻塞"</formula1>
    </dataValidation>
  </dataValidations>
  <hyperlinks>
    <hyperlink ref="F8" r:id="rId1" xr:uid="{FDA87EA1-595F-4C60-8B7F-483DBD6BA17B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0000000-000E-0000-0100-00000A000000}">
            <xm:f>$B5=总览!$K$5</xm:f>
            <x14:dxf>
              <fill>
                <patternFill patternType="solid">
                  <bgColor rgb="FFF5F3FF"/>
                </patternFill>
              </fill>
            </x14:dxf>
          </x14:cfRule>
          <xm:sqref>A5:P56</xm:sqref>
        </x14:conditionalFormatting>
        <x14:conditionalFormatting xmlns:xm="http://schemas.microsoft.com/office/excel/2006/main">
          <x14:cfRule type="dataBar" id="{DA5B03D3-CCC9-9FC4-27C1-955FAF91639A}">
            <x14:dataBar>
              <x14:cfvo type="min"/>
              <x14:cfvo type="max"/>
              <x14:negativeFillColor auto="1"/>
              <x14:axisColor auto="1"/>
            </x14:dataBar>
          </x14:cfRule>
          <xm:sqref>I5:I56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E8" sqref="E8"/>
    </sheetView>
  </sheetViews>
  <sheetFormatPr defaultRowHeight="13.5"/>
  <cols>
    <col min="1" max="1" width="14" customWidth="1"/>
    <col min="2" max="2" width="22" customWidth="1"/>
    <col min="3" max="3" width="26" customWidth="1"/>
    <col min="4" max="4" width="24" customWidth="1"/>
    <col min="5" max="7" width="12" customWidth="1"/>
    <col min="8" max="9" width="28" customWidth="1"/>
    <col min="10" max="10" width="26" customWidth="1"/>
  </cols>
  <sheetData>
    <row r="1" spans="1:10">
      <c r="A1" s="27" t="s">
        <v>197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8" t="s">
        <v>198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3.9">
      <c r="A4" s="4" t="s">
        <v>199</v>
      </c>
      <c r="B4" s="4" t="s">
        <v>200</v>
      </c>
      <c r="C4" s="4" t="s">
        <v>201</v>
      </c>
      <c r="D4" s="4" t="s">
        <v>202</v>
      </c>
      <c r="E4" s="4" t="s">
        <v>203</v>
      </c>
      <c r="F4" s="4" t="s">
        <v>204</v>
      </c>
      <c r="G4" s="4" t="s">
        <v>205</v>
      </c>
      <c r="H4" s="4" t="s">
        <v>206</v>
      </c>
      <c r="I4" s="4" t="s">
        <v>207</v>
      </c>
      <c r="J4" s="4" t="s">
        <v>208</v>
      </c>
    </row>
    <row r="5" spans="1:10" ht="17" customHeight="1">
      <c r="A5" s="10" t="s">
        <v>209</v>
      </c>
      <c r="B5" s="10" t="s">
        <v>210</v>
      </c>
      <c r="C5" s="10" t="s">
        <v>211</v>
      </c>
      <c r="D5" s="10"/>
      <c r="E5" s="10" t="s">
        <v>7</v>
      </c>
      <c r="F5" s="10" t="s">
        <v>51</v>
      </c>
      <c r="G5" s="10" t="s">
        <v>212</v>
      </c>
      <c r="H5" s="10"/>
      <c r="I5" s="10" t="s">
        <v>213</v>
      </c>
      <c r="J5" s="10"/>
    </row>
    <row r="6" spans="1:10" ht="17" customHeight="1">
      <c r="A6" s="10" t="s">
        <v>209</v>
      </c>
      <c r="B6" s="10" t="s">
        <v>111</v>
      </c>
      <c r="C6" s="10" t="s">
        <v>214</v>
      </c>
      <c r="D6" s="10" t="s">
        <v>215</v>
      </c>
      <c r="E6" s="10" t="s">
        <v>51</v>
      </c>
      <c r="F6" s="10" t="s">
        <v>51</v>
      </c>
      <c r="G6" s="10" t="s">
        <v>212</v>
      </c>
      <c r="H6" s="10"/>
      <c r="I6" s="10" t="s">
        <v>216</v>
      </c>
      <c r="J6" s="10"/>
    </row>
    <row r="7" spans="1:10" ht="17" customHeight="1">
      <c r="A7" s="10" t="s">
        <v>217</v>
      </c>
      <c r="B7" s="10" t="s">
        <v>64</v>
      </c>
      <c r="C7" s="10" t="s">
        <v>218</v>
      </c>
      <c r="D7" s="10"/>
      <c r="E7" s="10" t="s">
        <v>219</v>
      </c>
      <c r="F7" s="10" t="s">
        <v>220</v>
      </c>
      <c r="G7" s="10" t="s">
        <v>221</v>
      </c>
      <c r="H7" s="10"/>
      <c r="I7" s="10" t="s">
        <v>222</v>
      </c>
      <c r="J7" s="10" t="s">
        <v>223</v>
      </c>
    </row>
    <row r="8" spans="1:10" ht="17" customHeight="1">
      <c r="A8" s="10" t="s">
        <v>224</v>
      </c>
      <c r="B8" s="10" t="s">
        <v>74</v>
      </c>
      <c r="C8" s="10" t="s">
        <v>225</v>
      </c>
      <c r="D8" s="10"/>
      <c r="E8" s="10" t="s">
        <v>51</v>
      </c>
      <c r="F8" s="10" t="s">
        <v>51</v>
      </c>
      <c r="G8" s="10" t="s">
        <v>212</v>
      </c>
      <c r="H8" s="10"/>
      <c r="I8" s="10" t="s">
        <v>226</v>
      </c>
      <c r="J8" s="10"/>
    </row>
    <row r="9" spans="1:10" ht="17" customHeight="1">
      <c r="A9" s="10" t="s">
        <v>224</v>
      </c>
      <c r="B9" s="10" t="s">
        <v>77</v>
      </c>
      <c r="C9" s="10" t="s">
        <v>227</v>
      </c>
      <c r="D9" s="10"/>
      <c r="E9" s="10" t="s">
        <v>51</v>
      </c>
      <c r="F9" s="10" t="s">
        <v>51</v>
      </c>
      <c r="G9" s="10" t="s">
        <v>212</v>
      </c>
      <c r="H9" s="10"/>
      <c r="I9" s="10" t="s">
        <v>228</v>
      </c>
      <c r="J9" s="10"/>
    </row>
    <row r="10" spans="1:10" ht="17" customHeight="1">
      <c r="A10" s="10" t="s">
        <v>224</v>
      </c>
      <c r="B10" s="10" t="s">
        <v>80</v>
      </c>
      <c r="C10" s="10" t="s">
        <v>229</v>
      </c>
      <c r="D10" s="10"/>
      <c r="E10" s="10" t="s">
        <v>51</v>
      </c>
      <c r="F10" s="10" t="s">
        <v>51</v>
      </c>
      <c r="G10" s="10" t="s">
        <v>212</v>
      </c>
      <c r="H10" s="10"/>
      <c r="I10" s="10" t="s">
        <v>230</v>
      </c>
      <c r="J10" s="10"/>
    </row>
    <row r="11" spans="1:10" ht="17" customHeight="1">
      <c r="A11" s="10" t="s">
        <v>224</v>
      </c>
      <c r="B11" s="10" t="s">
        <v>83</v>
      </c>
      <c r="C11" s="10" t="s">
        <v>231</v>
      </c>
      <c r="D11" s="10"/>
      <c r="E11" s="10" t="s">
        <v>51</v>
      </c>
      <c r="F11" s="10" t="s">
        <v>51</v>
      </c>
      <c r="G11" s="10" t="s">
        <v>212</v>
      </c>
      <c r="H11" s="10"/>
      <c r="I11" s="10" t="s">
        <v>232</v>
      </c>
      <c r="J11" s="10"/>
    </row>
    <row r="12" spans="1:10" ht="17" customHeight="1">
      <c r="A12" s="10" t="s">
        <v>233</v>
      </c>
      <c r="B12" s="10" t="s">
        <v>86</v>
      </c>
      <c r="C12" s="10" t="s">
        <v>234</v>
      </c>
      <c r="D12" s="10"/>
      <c r="E12" s="10" t="s">
        <v>51</v>
      </c>
      <c r="F12" s="10" t="s">
        <v>51</v>
      </c>
      <c r="G12" s="10" t="s">
        <v>212</v>
      </c>
      <c r="H12" s="10"/>
      <c r="I12" s="10" t="s">
        <v>235</v>
      </c>
      <c r="J12" s="10"/>
    </row>
    <row r="13" spans="1:10" ht="17" customHeight="1">
      <c r="A13" s="10" t="s">
        <v>236</v>
      </c>
      <c r="B13" s="10" t="s">
        <v>89</v>
      </c>
      <c r="C13" s="10" t="s">
        <v>237</v>
      </c>
      <c r="D13" s="10"/>
      <c r="E13" s="10" t="s">
        <v>51</v>
      </c>
      <c r="F13" s="10" t="s">
        <v>51</v>
      </c>
      <c r="G13" s="10" t="s">
        <v>221</v>
      </c>
      <c r="H13" s="10"/>
      <c r="I13" s="10" t="s">
        <v>238</v>
      </c>
      <c r="J13" s="10"/>
    </row>
    <row r="14" spans="1:10" ht="17" customHeight="1">
      <c r="A14" s="10" t="s">
        <v>239</v>
      </c>
      <c r="B14" s="10" t="s">
        <v>240</v>
      </c>
      <c r="C14" s="10" t="s">
        <v>241</v>
      </c>
      <c r="D14" s="10"/>
      <c r="E14" s="10" t="s">
        <v>51</v>
      </c>
      <c r="F14" s="10" t="s">
        <v>51</v>
      </c>
      <c r="G14" s="10" t="s">
        <v>212</v>
      </c>
      <c r="H14" s="10"/>
      <c r="I14" s="10" t="s">
        <v>242</v>
      </c>
      <c r="J14" s="10"/>
    </row>
    <row r="15" spans="1:10" ht="17" customHeight="1">
      <c r="A15" s="10" t="s">
        <v>239</v>
      </c>
      <c r="B15" s="10" t="s">
        <v>243</v>
      </c>
      <c r="C15" s="10" t="s">
        <v>244</v>
      </c>
      <c r="D15" s="10"/>
      <c r="E15" s="10" t="s">
        <v>51</v>
      </c>
      <c r="F15" s="10" t="s">
        <v>51</v>
      </c>
      <c r="G15" s="10" t="s">
        <v>212</v>
      </c>
      <c r="H15" s="10"/>
      <c r="I15" s="10" t="s">
        <v>242</v>
      </c>
      <c r="J15" s="10"/>
    </row>
    <row r="16" spans="1:10" ht="17" customHeight="1">
      <c r="A16" s="10" t="s">
        <v>239</v>
      </c>
      <c r="B16" s="10" t="s">
        <v>245</v>
      </c>
      <c r="C16" s="10" t="s">
        <v>246</v>
      </c>
      <c r="D16" s="10"/>
      <c r="E16" s="10" t="s">
        <v>51</v>
      </c>
      <c r="F16" s="10" t="s">
        <v>51</v>
      </c>
      <c r="G16" s="10" t="s">
        <v>212</v>
      </c>
      <c r="H16" s="10"/>
      <c r="I16" s="10" t="s">
        <v>242</v>
      </c>
      <c r="J16" s="10"/>
    </row>
    <row r="17" spans="1:10" ht="17" customHeight="1">
      <c r="A17" s="10" t="s">
        <v>247</v>
      </c>
      <c r="B17" s="10" t="s">
        <v>248</v>
      </c>
      <c r="C17" s="10" t="s">
        <v>249</v>
      </c>
      <c r="D17" s="10"/>
      <c r="E17" s="10" t="s">
        <v>51</v>
      </c>
      <c r="F17" s="10" t="s">
        <v>51</v>
      </c>
      <c r="G17" s="10" t="s">
        <v>250</v>
      </c>
      <c r="H17" s="10"/>
      <c r="I17" s="10" t="s">
        <v>251</v>
      </c>
      <c r="J17" s="10"/>
    </row>
    <row r="18" spans="1:10" ht="17" customHeight="1">
      <c r="A18" s="10" t="s">
        <v>247</v>
      </c>
      <c r="B18" s="10" t="s">
        <v>252</v>
      </c>
      <c r="C18" s="10" t="s">
        <v>253</v>
      </c>
      <c r="D18" s="10"/>
      <c r="E18" s="10" t="s">
        <v>51</v>
      </c>
      <c r="F18" s="10" t="s">
        <v>51</v>
      </c>
      <c r="G18" s="10" t="s">
        <v>254</v>
      </c>
      <c r="H18" s="10"/>
      <c r="I18" s="10" t="s">
        <v>255</v>
      </c>
      <c r="J18" s="10"/>
    </row>
  </sheetData>
  <mergeCells count="2">
    <mergeCell ref="A1:J2"/>
    <mergeCell ref="A3:J3"/>
  </mergeCells>
  <phoneticPr fontId="22" type="noConversion"/>
  <conditionalFormatting sqref="E5:G18">
    <cfRule type="expression" dxfId="5" priority="1">
      <formula>E5="已完成"</formula>
    </cfRule>
    <cfRule type="expression" dxfId="4" priority="2">
      <formula>E5="已通过"</formula>
    </cfRule>
    <cfRule type="expression" dxfId="3" priority="3">
      <formula>E5="已阻塞"</formula>
    </cfRule>
  </conditionalFormatting>
  <dataValidations count="1">
    <dataValidation type="list" sqref="E5:G18" xr:uid="{00000000-0002-0000-0200-000000000000}">
      <formula1>"未开始,进行中,待审核,已完成,已通过,已注册,已阻塞,不适用,待联系,待研究"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activeCell="C13" sqref="C13"/>
    </sheetView>
  </sheetViews>
  <sheetFormatPr defaultRowHeight="13.5"/>
  <cols>
    <col min="1" max="1" width="16" customWidth="1"/>
    <col min="2" max="2" width="26" customWidth="1"/>
    <col min="3" max="3" width="38" customWidth="1"/>
    <col min="4" max="4" width="10" customWidth="1"/>
    <col min="5" max="5" width="12" customWidth="1"/>
    <col min="6" max="6" width="30" customWidth="1"/>
    <col min="7" max="7" width="10" customWidth="1"/>
    <col min="8" max="8" width="28" customWidth="1"/>
  </cols>
  <sheetData>
    <row r="1" spans="1:8">
      <c r="A1" s="27" t="s">
        <v>256</v>
      </c>
      <c r="B1" s="27"/>
      <c r="C1" s="27"/>
      <c r="D1" s="27"/>
      <c r="E1" s="27"/>
      <c r="F1" s="27"/>
      <c r="G1" s="27"/>
      <c r="H1" s="27"/>
    </row>
    <row r="2" spans="1:8">
      <c r="A2" s="27"/>
      <c r="B2" s="27"/>
      <c r="C2" s="27"/>
      <c r="D2" s="27"/>
      <c r="E2" s="27"/>
      <c r="F2" s="27"/>
      <c r="G2" s="27"/>
      <c r="H2" s="27"/>
    </row>
    <row r="3" spans="1:8" ht="13.9">
      <c r="A3" s="29" t="s">
        <v>257</v>
      </c>
      <c r="B3" s="29"/>
      <c r="C3" s="29"/>
      <c r="D3" s="29"/>
      <c r="E3" s="29"/>
      <c r="F3" s="29"/>
      <c r="G3" s="29"/>
      <c r="H3" s="29"/>
    </row>
    <row r="4" spans="1:8" ht="13.9">
      <c r="A4" s="4" t="s">
        <v>13</v>
      </c>
      <c r="B4" s="4" t="s">
        <v>258</v>
      </c>
      <c r="C4" s="4" t="s">
        <v>259</v>
      </c>
      <c r="D4" s="4" t="s">
        <v>260</v>
      </c>
      <c r="E4" s="4" t="s">
        <v>39</v>
      </c>
      <c r="F4" s="4" t="s">
        <v>261</v>
      </c>
      <c r="G4" s="4" t="s">
        <v>42</v>
      </c>
      <c r="H4" s="4" t="s">
        <v>208</v>
      </c>
    </row>
    <row r="5" spans="1:8" ht="17" customHeight="1">
      <c r="A5" s="10" t="s">
        <v>209</v>
      </c>
      <c r="B5" s="10" t="s">
        <v>262</v>
      </c>
      <c r="C5" s="10" t="s">
        <v>263</v>
      </c>
      <c r="D5" s="10" t="s">
        <v>264</v>
      </c>
      <c r="E5" s="10" t="s">
        <v>7</v>
      </c>
      <c r="F5" s="10"/>
      <c r="G5" s="10" t="s">
        <v>53</v>
      </c>
      <c r="H5" s="10"/>
    </row>
    <row r="6" spans="1:8" ht="17" customHeight="1">
      <c r="A6" s="10" t="s">
        <v>209</v>
      </c>
      <c r="B6" s="10" t="s">
        <v>265</v>
      </c>
      <c r="C6" s="10" t="s">
        <v>266</v>
      </c>
      <c r="D6" s="10" t="s">
        <v>264</v>
      </c>
      <c r="E6" s="10" t="s">
        <v>7</v>
      </c>
      <c r="F6" s="10"/>
      <c r="G6" s="10" t="s">
        <v>53</v>
      </c>
      <c r="H6" s="10"/>
    </row>
    <row r="7" spans="1:8" ht="17" customHeight="1">
      <c r="A7" s="10" t="s">
        <v>267</v>
      </c>
      <c r="B7" s="10" t="s">
        <v>268</v>
      </c>
      <c r="C7" s="10" t="s">
        <v>269</v>
      </c>
      <c r="D7" s="10" t="s">
        <v>264</v>
      </c>
      <c r="E7" s="10" t="s">
        <v>51</v>
      </c>
      <c r="F7" s="10"/>
      <c r="G7" s="10" t="s">
        <v>53</v>
      </c>
      <c r="H7" s="10"/>
    </row>
    <row r="8" spans="1:8" ht="17" customHeight="1">
      <c r="A8" s="10" t="s">
        <v>267</v>
      </c>
      <c r="B8" s="10" t="s">
        <v>270</v>
      </c>
      <c r="C8" s="10" t="s">
        <v>271</v>
      </c>
      <c r="D8" s="10" t="s">
        <v>264</v>
      </c>
      <c r="E8" s="10" t="s">
        <v>51</v>
      </c>
      <c r="F8" s="10"/>
      <c r="G8" s="10" t="s">
        <v>53</v>
      </c>
      <c r="H8" s="10"/>
    </row>
    <row r="9" spans="1:8" ht="17" customHeight="1">
      <c r="A9" s="10" t="s">
        <v>272</v>
      </c>
      <c r="B9" s="10" t="s">
        <v>240</v>
      </c>
      <c r="C9" s="10" t="s">
        <v>273</v>
      </c>
      <c r="D9" s="10" t="s">
        <v>264</v>
      </c>
      <c r="E9" s="10" t="s">
        <v>7</v>
      </c>
      <c r="F9" s="10"/>
      <c r="G9" s="10" t="s">
        <v>53</v>
      </c>
      <c r="H9" s="10"/>
    </row>
    <row r="10" spans="1:8" ht="17" customHeight="1">
      <c r="A10" s="10" t="s">
        <v>272</v>
      </c>
      <c r="B10" s="10" t="s">
        <v>243</v>
      </c>
      <c r="C10" s="10" t="s">
        <v>273</v>
      </c>
      <c r="D10" s="10" t="s">
        <v>264</v>
      </c>
      <c r="E10" s="10" t="s">
        <v>7</v>
      </c>
      <c r="F10" s="10"/>
      <c r="G10" s="10" t="s">
        <v>53</v>
      </c>
      <c r="H10" s="10"/>
    </row>
    <row r="11" spans="1:8" ht="17" customHeight="1">
      <c r="A11" s="10" t="s">
        <v>272</v>
      </c>
      <c r="B11" s="10" t="s">
        <v>245</v>
      </c>
      <c r="C11" s="10" t="s">
        <v>274</v>
      </c>
      <c r="D11" s="10" t="s">
        <v>264</v>
      </c>
      <c r="E11" s="10" t="s">
        <v>7</v>
      </c>
      <c r="F11" s="10"/>
      <c r="G11" s="10" t="s">
        <v>53</v>
      </c>
      <c r="H11" s="10"/>
    </row>
    <row r="12" spans="1:8" ht="17" customHeight="1">
      <c r="A12" s="10" t="s">
        <v>275</v>
      </c>
      <c r="B12" s="10" t="s">
        <v>276</v>
      </c>
      <c r="C12" s="10" t="s">
        <v>277</v>
      </c>
      <c r="D12" s="10" t="s">
        <v>264</v>
      </c>
      <c r="E12" s="10" t="s">
        <v>51</v>
      </c>
      <c r="F12" s="10"/>
      <c r="G12" s="10" t="s">
        <v>53</v>
      </c>
      <c r="H12" s="10"/>
    </row>
    <row r="13" spans="1:8" ht="17" customHeight="1">
      <c r="A13" s="10" t="s">
        <v>275</v>
      </c>
      <c r="B13" s="10" t="s">
        <v>278</v>
      </c>
      <c r="C13" s="10" t="s">
        <v>279</v>
      </c>
      <c r="D13" s="10" t="s">
        <v>264</v>
      </c>
      <c r="E13" s="10" t="s">
        <v>51</v>
      </c>
      <c r="F13" s="10"/>
      <c r="G13" s="10" t="s">
        <v>53</v>
      </c>
      <c r="H13" s="10"/>
    </row>
    <row r="14" spans="1:8" ht="17" customHeight="1">
      <c r="A14" s="10" t="s">
        <v>275</v>
      </c>
      <c r="B14" s="10" t="s">
        <v>280</v>
      </c>
      <c r="C14" s="10" t="s">
        <v>281</v>
      </c>
      <c r="D14" s="10" t="s">
        <v>264</v>
      </c>
      <c r="E14" s="10" t="s">
        <v>51</v>
      </c>
      <c r="F14" s="10"/>
      <c r="G14" s="10" t="s">
        <v>53</v>
      </c>
      <c r="H14" s="10"/>
    </row>
    <row r="15" spans="1:8" ht="17" customHeight="1">
      <c r="A15" s="10" t="s">
        <v>282</v>
      </c>
      <c r="B15" s="10" t="s">
        <v>283</v>
      </c>
      <c r="C15" s="10" t="s">
        <v>284</v>
      </c>
      <c r="D15" s="10" t="s">
        <v>264</v>
      </c>
      <c r="E15" s="10" t="s">
        <v>51</v>
      </c>
      <c r="F15" s="10"/>
      <c r="G15" s="10" t="s">
        <v>53</v>
      </c>
      <c r="H15" s="10"/>
    </row>
    <row r="16" spans="1:8" ht="17" customHeight="1">
      <c r="A16" s="10" t="s">
        <v>282</v>
      </c>
      <c r="B16" s="10" t="s">
        <v>285</v>
      </c>
      <c r="C16" s="10" t="s">
        <v>286</v>
      </c>
      <c r="D16" s="10" t="s">
        <v>264</v>
      </c>
      <c r="E16" s="10" t="s">
        <v>51</v>
      </c>
      <c r="F16" s="10"/>
      <c r="G16" s="10" t="s">
        <v>53</v>
      </c>
      <c r="H16" s="10"/>
    </row>
    <row r="17" spans="1:8" ht="17" customHeight="1">
      <c r="A17" s="10" t="s">
        <v>282</v>
      </c>
      <c r="B17" s="10" t="s">
        <v>287</v>
      </c>
      <c r="C17" s="10" t="s">
        <v>288</v>
      </c>
      <c r="D17" s="10" t="s">
        <v>289</v>
      </c>
      <c r="E17" s="10" t="s">
        <v>51</v>
      </c>
      <c r="F17" s="10"/>
      <c r="G17" s="10" t="s">
        <v>53</v>
      </c>
      <c r="H17" s="10"/>
    </row>
    <row r="18" spans="1:8" ht="17" customHeight="1">
      <c r="A18" s="10" t="s">
        <v>290</v>
      </c>
      <c r="B18" s="10" t="s">
        <v>291</v>
      </c>
      <c r="C18" s="10" t="s">
        <v>292</v>
      </c>
      <c r="D18" s="10" t="s">
        <v>264</v>
      </c>
      <c r="E18" s="10" t="s">
        <v>51</v>
      </c>
      <c r="F18" s="10"/>
      <c r="G18" s="10" t="s">
        <v>53</v>
      </c>
      <c r="H18" s="10"/>
    </row>
    <row r="19" spans="1:8" ht="17" customHeight="1">
      <c r="A19" s="10" t="s">
        <v>290</v>
      </c>
      <c r="B19" s="10" t="s">
        <v>293</v>
      </c>
      <c r="C19" s="10" t="s">
        <v>294</v>
      </c>
      <c r="D19" s="10" t="s">
        <v>264</v>
      </c>
      <c r="E19" s="10" t="s">
        <v>51</v>
      </c>
      <c r="F19" s="10"/>
      <c r="G19" s="10" t="s">
        <v>53</v>
      </c>
      <c r="H19" s="10"/>
    </row>
    <row r="20" spans="1:8" ht="17" customHeight="1">
      <c r="A20" s="10" t="s">
        <v>290</v>
      </c>
      <c r="B20" s="10" t="s">
        <v>295</v>
      </c>
      <c r="C20" s="10" t="s">
        <v>296</v>
      </c>
      <c r="D20" s="10" t="s">
        <v>264</v>
      </c>
      <c r="E20" s="10" t="s">
        <v>51</v>
      </c>
      <c r="F20" s="10"/>
      <c r="G20" s="10" t="s">
        <v>53</v>
      </c>
      <c r="H20" s="10"/>
    </row>
    <row r="21" spans="1:8" ht="17" customHeight="1">
      <c r="A21" s="10" t="s">
        <v>297</v>
      </c>
      <c r="B21" s="10" t="s">
        <v>298</v>
      </c>
      <c r="C21" s="10" t="s">
        <v>299</v>
      </c>
      <c r="D21" s="10" t="s">
        <v>289</v>
      </c>
      <c r="E21" s="10" t="s">
        <v>51</v>
      </c>
      <c r="F21" s="10"/>
      <c r="G21" s="10" t="s">
        <v>53</v>
      </c>
      <c r="H21" s="10"/>
    </row>
    <row r="22" spans="1:8" ht="17" customHeight="1">
      <c r="A22" s="10" t="s">
        <v>300</v>
      </c>
      <c r="B22" s="10" t="s">
        <v>301</v>
      </c>
      <c r="C22" s="10" t="s">
        <v>302</v>
      </c>
      <c r="D22" s="10" t="s">
        <v>264</v>
      </c>
      <c r="E22" s="10" t="s">
        <v>51</v>
      </c>
      <c r="F22" s="10"/>
      <c r="G22" s="10" t="s">
        <v>53</v>
      </c>
      <c r="H22" s="10"/>
    </row>
  </sheetData>
  <mergeCells count="2">
    <mergeCell ref="A1:H2"/>
    <mergeCell ref="A3:H3"/>
  </mergeCells>
  <phoneticPr fontId="22" type="noConversion"/>
  <conditionalFormatting sqref="D5:D22">
    <cfRule type="expression" dxfId="2" priority="3">
      <formula>D5="必须"</formula>
    </cfRule>
  </conditionalFormatting>
  <conditionalFormatting sqref="E5:E22">
    <cfRule type="expression" dxfId="1" priority="1">
      <formula>E5="已完成"</formula>
    </cfRule>
    <cfRule type="expression" dxfId="0" priority="2">
      <formula>E5="已阻塞"</formula>
    </cfRule>
  </conditionalFormatting>
  <dataValidations count="1">
    <dataValidation type="list" sqref="E5:E22" xr:uid="{00000000-0002-0000-0300-000000000000}">
      <formula1>"未开始,进行中,待审核,已完成,已阻塞"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7天任务</vt:lpstr>
      <vt:lpstr>账号与外部依赖</vt:lpstr>
      <vt:lpstr>上线验收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3996897875@qq.com</cp:lastModifiedBy>
  <dcterms:modified xsi:type="dcterms:W3CDTF">2026-07-13T00:34:32Z</dcterms:modified>
</cp:coreProperties>
</file>