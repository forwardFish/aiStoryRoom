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yh\agent\agent-frame\aiStoryRoom\docs\项目管理\"/>
    </mc:Choice>
  </mc:AlternateContent>
  <xr:revisionPtr revIDLastSave="0" documentId="13_ncr:1_{3FB5F7A0-73BA-4E3E-B111-49A003753E22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总览" sheetId="1" r:id="rId1"/>
    <sheet name="7天任务" sheetId="2" r:id="rId2"/>
    <sheet name="账号与外部依赖" sheetId="3" r:id="rId3"/>
    <sheet name="上线验收" sheetId="4" r:id="rId4"/>
    <sheet name="开发进度" sheetId="5" r:id="rId5"/>
    <sheet name="测试进度" sheetId="6" r:id="rId6"/>
    <sheet name="模拟对局" sheetId="7" r:id="rId7"/>
    <sheet name="部署方案" sheetId="8" r:id="rId8"/>
    <sheet name="研发总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I6" i="2"/>
  <c r="L6" i="2"/>
  <c r="C7" i="2"/>
  <c r="L7" i="2" s="1"/>
  <c r="I7" i="2"/>
  <c r="C8" i="2"/>
  <c r="I8" i="2"/>
  <c r="L8" i="2"/>
  <c r="C9" i="2"/>
  <c r="I9" i="2"/>
  <c r="L9" i="2"/>
  <c r="C10" i="2"/>
  <c r="L10" i="2" s="1"/>
  <c r="I10" i="2"/>
  <c r="C11" i="2"/>
  <c r="I11" i="2"/>
  <c r="L11" i="2"/>
  <c r="C12" i="2"/>
  <c r="I12" i="2"/>
  <c r="L12" i="2"/>
  <c r="C13" i="2"/>
  <c r="L13" i="2" s="1"/>
  <c r="I13" i="2"/>
  <c r="C14" i="2"/>
  <c r="I14" i="2"/>
  <c r="L14" i="2"/>
  <c r="C15" i="2"/>
  <c r="I15" i="2"/>
  <c r="L15" i="2"/>
  <c r="C16" i="2"/>
  <c r="L16" i="2" s="1"/>
  <c r="I16" i="2"/>
  <c r="C17" i="2"/>
  <c r="I17" i="2"/>
  <c r="L17" i="2"/>
  <c r="C18" i="2"/>
  <c r="I18" i="2"/>
  <c r="L18" i="2"/>
  <c r="C19" i="2"/>
  <c r="L19" i="2" s="1"/>
  <c r="I19" i="2"/>
  <c r="C20" i="2"/>
  <c r="I20" i="2"/>
  <c r="L20" i="2"/>
  <c r="C21" i="2"/>
  <c r="I21" i="2"/>
  <c r="L21" i="2"/>
  <c r="C22" i="2"/>
  <c r="L22" i="2" s="1"/>
  <c r="I22" i="2"/>
  <c r="M15" i="1" s="1"/>
  <c r="C23" i="2"/>
  <c r="I23" i="2"/>
  <c r="L23" i="2"/>
  <c r="C24" i="2"/>
  <c r="I24" i="2"/>
  <c r="L24" i="2"/>
  <c r="C25" i="2"/>
  <c r="L25" i="2" s="1"/>
  <c r="I25" i="2"/>
  <c r="C26" i="2"/>
  <c r="I26" i="2"/>
  <c r="L26" i="2"/>
  <c r="C27" i="2"/>
  <c r="I27" i="2"/>
  <c r="L27" i="2"/>
  <c r="C28" i="2"/>
  <c r="L28" i="2" s="1"/>
  <c r="I28" i="2"/>
  <c r="C29" i="2"/>
  <c r="I29" i="2"/>
  <c r="M16" i="1" s="1"/>
  <c r="L29" i="2"/>
  <c r="C30" i="2"/>
  <c r="I30" i="2"/>
  <c r="L30" i="2"/>
  <c r="C31" i="2"/>
  <c r="L31" i="2" s="1"/>
  <c r="I31" i="2"/>
  <c r="C32" i="2"/>
  <c r="I32" i="2"/>
  <c r="L32" i="2"/>
  <c r="C33" i="2"/>
  <c r="I33" i="2"/>
  <c r="L33" i="2"/>
  <c r="C34" i="2"/>
  <c r="L34" i="2" s="1"/>
  <c r="I34" i="2"/>
  <c r="C35" i="2"/>
  <c r="I35" i="2"/>
  <c r="M17" i="1" s="1"/>
  <c r="L35" i="2"/>
  <c r="C36" i="2"/>
  <c r="I36" i="2"/>
  <c r="L36" i="2"/>
  <c r="C37" i="2"/>
  <c r="L37" i="2" s="1"/>
  <c r="I37" i="2"/>
  <c r="C38" i="2"/>
  <c r="I38" i="2"/>
  <c r="L38" i="2"/>
  <c r="C39" i="2"/>
  <c r="I39" i="2"/>
  <c r="L39" i="2"/>
  <c r="C40" i="2"/>
  <c r="L40" i="2" s="1"/>
  <c r="I40" i="2"/>
  <c r="C41" i="2"/>
  <c r="I41" i="2"/>
  <c r="M18" i="1" s="1"/>
  <c r="L41" i="2"/>
  <c r="C42" i="2"/>
  <c r="I42" i="2"/>
  <c r="L42" i="2"/>
  <c r="C43" i="2"/>
  <c r="L43" i="2" s="1"/>
  <c r="I43" i="2"/>
  <c r="C44" i="2"/>
  <c r="I44" i="2"/>
  <c r="L44" i="2"/>
  <c r="C45" i="2"/>
  <c r="I45" i="2"/>
  <c r="L45" i="2"/>
  <c r="C46" i="2"/>
  <c r="L46" i="2" s="1"/>
  <c r="I46" i="2"/>
  <c r="C47" i="2"/>
  <c r="I47" i="2"/>
  <c r="M19" i="1" s="1"/>
  <c r="L47" i="2"/>
  <c r="C48" i="2"/>
  <c r="I48" i="2"/>
  <c r="L48" i="2"/>
  <c r="C49" i="2"/>
  <c r="L49" i="2" s="1"/>
  <c r="I49" i="2"/>
  <c r="C50" i="2"/>
  <c r="I50" i="2"/>
  <c r="L50" i="2"/>
  <c r="C51" i="2"/>
  <c r="I51" i="2"/>
  <c r="M20" i="1" s="1"/>
  <c r="L51" i="2"/>
  <c r="C52" i="2"/>
  <c r="L52" i="2" s="1"/>
  <c r="I52" i="2"/>
  <c r="C53" i="2"/>
  <c r="I53" i="2"/>
  <c r="L53" i="2"/>
  <c r="C54" i="2"/>
  <c r="I54" i="2"/>
  <c r="L54" i="2"/>
  <c r="C55" i="2"/>
  <c r="L55" i="2" s="1"/>
  <c r="I55" i="2"/>
  <c r="C56" i="2"/>
  <c r="I56" i="2"/>
  <c r="L56" i="2"/>
  <c r="J31" i="9"/>
  <c r="C31" i="9"/>
  <c r="J30" i="9"/>
  <c r="C30" i="9"/>
  <c r="J29" i="9"/>
  <c r="C29" i="9"/>
  <c r="J28" i="9"/>
  <c r="C28" i="9"/>
  <c r="K24" i="9"/>
  <c r="J24" i="9"/>
  <c r="L24" i="9" s="1"/>
  <c r="I24" i="9"/>
  <c r="K23" i="9"/>
  <c r="J23" i="9"/>
  <c r="L23" i="9" s="1"/>
  <c r="I23" i="9"/>
  <c r="E23" i="9"/>
  <c r="D23" i="9"/>
  <c r="C23" i="9"/>
  <c r="B23" i="9"/>
  <c r="K22" i="9"/>
  <c r="J22" i="9"/>
  <c r="L22" i="9" s="1"/>
  <c r="I22" i="9"/>
  <c r="E22" i="9"/>
  <c r="D22" i="9"/>
  <c r="C22" i="9"/>
  <c r="B22" i="9"/>
  <c r="K21" i="9"/>
  <c r="J21" i="9"/>
  <c r="L21" i="9" s="1"/>
  <c r="I21" i="9"/>
  <c r="E21" i="9"/>
  <c r="D21" i="9"/>
  <c r="C21" i="9"/>
  <c r="B21" i="9"/>
  <c r="K20" i="9"/>
  <c r="J20" i="9"/>
  <c r="L20" i="9" s="1"/>
  <c r="I20" i="9"/>
  <c r="E20" i="9"/>
  <c r="D20" i="9"/>
  <c r="C20" i="9"/>
  <c r="B20" i="9"/>
  <c r="K19" i="9"/>
  <c r="J19" i="9"/>
  <c r="L19" i="9" s="1"/>
  <c r="I19" i="9"/>
  <c r="E19" i="9"/>
  <c r="D19" i="9"/>
  <c r="C19" i="9"/>
  <c r="B19" i="9"/>
  <c r="K18" i="9"/>
  <c r="J18" i="9"/>
  <c r="L18" i="9" s="1"/>
  <c r="I18" i="9"/>
  <c r="E18" i="9"/>
  <c r="D18" i="9"/>
  <c r="C18" i="9"/>
  <c r="B18" i="9"/>
  <c r="K17" i="9"/>
  <c r="J17" i="9"/>
  <c r="L17" i="9" s="1"/>
  <c r="I17" i="9"/>
  <c r="E17" i="9"/>
  <c r="D17" i="9"/>
  <c r="C17" i="9"/>
  <c r="B17" i="9"/>
  <c r="K16" i="9"/>
  <c r="J16" i="9"/>
  <c r="L16" i="9" s="1"/>
  <c r="I16" i="9"/>
  <c r="E16" i="9"/>
  <c r="D16" i="9"/>
  <c r="C16" i="9"/>
  <c r="B16" i="9"/>
  <c r="K15" i="9"/>
  <c r="J15" i="9"/>
  <c r="L15" i="9" s="1"/>
  <c r="I15" i="9"/>
  <c r="E15" i="9"/>
  <c r="D15" i="9"/>
  <c r="C15" i="9"/>
  <c r="B15" i="9"/>
  <c r="K14" i="9"/>
  <c r="J14" i="9"/>
  <c r="L14" i="9" s="1"/>
  <c r="I14" i="9"/>
  <c r="E14" i="9"/>
  <c r="D14" i="9"/>
  <c r="C14" i="9"/>
  <c r="B14" i="9"/>
  <c r="K13" i="9"/>
  <c r="J13" i="9"/>
  <c r="L13" i="9" s="1"/>
  <c r="I13" i="9"/>
  <c r="E13" i="9"/>
  <c r="D13" i="9"/>
  <c r="C13" i="9"/>
  <c r="B13" i="9"/>
  <c r="K12" i="9"/>
  <c r="J12" i="9"/>
  <c r="L12" i="9" s="1"/>
  <c r="I12" i="9"/>
  <c r="E12" i="9"/>
  <c r="D12" i="9"/>
  <c r="C12" i="9"/>
  <c r="B12" i="9"/>
  <c r="K11" i="9"/>
  <c r="J11" i="9"/>
  <c r="L11" i="9" s="1"/>
  <c r="I11" i="9"/>
  <c r="E11" i="9"/>
  <c r="D11" i="9"/>
  <c r="C11" i="9"/>
  <c r="B11" i="9"/>
  <c r="K7" i="9"/>
  <c r="L7" i="9" s="1"/>
  <c r="J7" i="9"/>
  <c r="H7" i="9"/>
  <c r="I7" i="9" s="1"/>
  <c r="G7" i="9"/>
  <c r="E7" i="9"/>
  <c r="D7" i="9"/>
  <c r="F7" i="9" s="1"/>
  <c r="B7" i="9"/>
  <c r="A7" i="9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145" i="5"/>
  <c r="K145" i="5"/>
  <c r="O144" i="5"/>
  <c r="K144" i="5"/>
  <c r="O143" i="5"/>
  <c r="K143" i="5"/>
  <c r="O142" i="5"/>
  <c r="K142" i="5"/>
  <c r="O141" i="5"/>
  <c r="K141" i="5"/>
  <c r="O140" i="5"/>
  <c r="K140" i="5"/>
  <c r="O139" i="5"/>
  <c r="K139" i="5"/>
  <c r="O138" i="5"/>
  <c r="K138" i="5"/>
  <c r="O137" i="5"/>
  <c r="K137" i="5"/>
  <c r="F23" i="9" s="1"/>
  <c r="O136" i="5"/>
  <c r="K136" i="5"/>
  <c r="O135" i="5"/>
  <c r="K135" i="5"/>
  <c r="O134" i="5"/>
  <c r="K134" i="5"/>
  <c r="O133" i="5"/>
  <c r="K133" i="5"/>
  <c r="O132" i="5"/>
  <c r="K132" i="5"/>
  <c r="O131" i="5"/>
  <c r="K131" i="5"/>
  <c r="O130" i="5"/>
  <c r="K130" i="5"/>
  <c r="O129" i="5"/>
  <c r="K129" i="5"/>
  <c r="O128" i="5"/>
  <c r="K128" i="5"/>
  <c r="O127" i="5"/>
  <c r="K127" i="5"/>
  <c r="O126" i="5"/>
  <c r="K126" i="5"/>
  <c r="F22" i="9" s="1"/>
  <c r="O125" i="5"/>
  <c r="K125" i="5"/>
  <c r="O124" i="5"/>
  <c r="K124" i="5"/>
  <c r="O123" i="5"/>
  <c r="K123" i="5"/>
  <c r="O122" i="5"/>
  <c r="K122" i="5"/>
  <c r="O121" i="5"/>
  <c r="K121" i="5"/>
  <c r="O120" i="5"/>
  <c r="K120" i="5"/>
  <c r="O119" i="5"/>
  <c r="K119" i="5"/>
  <c r="O118" i="5"/>
  <c r="K118" i="5"/>
  <c r="F21" i="9" s="1"/>
  <c r="O117" i="5"/>
  <c r="K117" i="5"/>
  <c r="O116" i="5"/>
  <c r="K116" i="5"/>
  <c r="O115" i="5"/>
  <c r="K115" i="5"/>
  <c r="O114" i="5"/>
  <c r="K114" i="5"/>
  <c r="O113" i="5"/>
  <c r="K113" i="5"/>
  <c r="O112" i="5"/>
  <c r="K112" i="5"/>
  <c r="O111" i="5"/>
  <c r="K111" i="5"/>
  <c r="O110" i="5"/>
  <c r="K110" i="5"/>
  <c r="O109" i="5"/>
  <c r="K109" i="5"/>
  <c r="O108" i="5"/>
  <c r="K108" i="5"/>
  <c r="O107" i="5"/>
  <c r="K107" i="5"/>
  <c r="F20" i="9" s="1"/>
  <c r="O106" i="5"/>
  <c r="K106" i="5"/>
  <c r="O105" i="5"/>
  <c r="K105" i="5"/>
  <c r="O104" i="5"/>
  <c r="K104" i="5"/>
  <c r="O103" i="5"/>
  <c r="K103" i="5"/>
  <c r="O102" i="5"/>
  <c r="K102" i="5"/>
  <c r="O101" i="5"/>
  <c r="K101" i="5"/>
  <c r="O100" i="5"/>
  <c r="K100" i="5"/>
  <c r="O99" i="5"/>
  <c r="K99" i="5"/>
  <c r="O98" i="5"/>
  <c r="K98" i="5"/>
  <c r="F19" i="9" s="1"/>
  <c r="O97" i="5"/>
  <c r="K97" i="5"/>
  <c r="O96" i="5"/>
  <c r="K96" i="5"/>
  <c r="O95" i="5"/>
  <c r="K95" i="5"/>
  <c r="O94" i="5"/>
  <c r="K94" i="5"/>
  <c r="O93" i="5"/>
  <c r="K93" i="5"/>
  <c r="O92" i="5"/>
  <c r="K92" i="5"/>
  <c r="O91" i="5"/>
  <c r="K91" i="5"/>
  <c r="O90" i="5"/>
  <c r="K90" i="5"/>
  <c r="O89" i="5"/>
  <c r="K89" i="5"/>
  <c r="F18" i="9" s="1"/>
  <c r="O88" i="5"/>
  <c r="K88" i="5"/>
  <c r="O87" i="5"/>
  <c r="K87" i="5"/>
  <c r="O86" i="5"/>
  <c r="K86" i="5"/>
  <c r="O85" i="5"/>
  <c r="K85" i="5"/>
  <c r="O84" i="5"/>
  <c r="K84" i="5"/>
  <c r="O83" i="5"/>
  <c r="K83" i="5"/>
  <c r="O82" i="5"/>
  <c r="K82" i="5"/>
  <c r="O81" i="5"/>
  <c r="K81" i="5"/>
  <c r="O80" i="5"/>
  <c r="K80" i="5"/>
  <c r="O79" i="5"/>
  <c r="K79" i="5"/>
  <c r="O78" i="5"/>
  <c r="K78" i="5"/>
  <c r="O77" i="5"/>
  <c r="K77" i="5"/>
  <c r="O76" i="5"/>
  <c r="K76" i="5"/>
  <c r="O75" i="5"/>
  <c r="K75" i="5"/>
  <c r="O74" i="5"/>
  <c r="K74" i="5"/>
  <c r="O73" i="5"/>
  <c r="K73" i="5"/>
  <c r="F17" i="9" s="1"/>
  <c r="O72" i="5"/>
  <c r="K72" i="5"/>
  <c r="O71" i="5"/>
  <c r="K71" i="5"/>
  <c r="O70" i="5"/>
  <c r="K70" i="5"/>
  <c r="O69" i="5"/>
  <c r="K69" i="5"/>
  <c r="O68" i="5"/>
  <c r="K68" i="5"/>
  <c r="O67" i="5"/>
  <c r="K67" i="5"/>
  <c r="O66" i="5"/>
  <c r="K66" i="5"/>
  <c r="O65" i="5"/>
  <c r="K65" i="5"/>
  <c r="O64" i="5"/>
  <c r="K64" i="5"/>
  <c r="O63" i="5"/>
  <c r="K63" i="5"/>
  <c r="O62" i="5"/>
  <c r="K62" i="5"/>
  <c r="F16" i="9" s="1"/>
  <c r="O61" i="5"/>
  <c r="K61" i="5"/>
  <c r="O60" i="5"/>
  <c r="K60" i="5"/>
  <c r="O59" i="5"/>
  <c r="K59" i="5"/>
  <c r="O58" i="5"/>
  <c r="K58" i="5"/>
  <c r="O57" i="5"/>
  <c r="K57" i="5"/>
  <c r="O56" i="5"/>
  <c r="K56" i="5"/>
  <c r="O55" i="5"/>
  <c r="K55" i="5"/>
  <c r="O54" i="5"/>
  <c r="K54" i="5"/>
  <c r="O53" i="5"/>
  <c r="K53" i="5"/>
  <c r="O52" i="5"/>
  <c r="K52" i="5"/>
  <c r="O51" i="5"/>
  <c r="K51" i="5"/>
  <c r="O50" i="5"/>
  <c r="K50" i="5"/>
  <c r="O49" i="5"/>
  <c r="K49" i="5"/>
  <c r="O48" i="5"/>
  <c r="K48" i="5"/>
  <c r="O47" i="5"/>
  <c r="K47" i="5"/>
  <c r="O46" i="5"/>
  <c r="K46" i="5"/>
  <c r="O45" i="5"/>
  <c r="K45" i="5"/>
  <c r="O44" i="5"/>
  <c r="K44" i="5"/>
  <c r="F15" i="9" s="1"/>
  <c r="O43" i="5"/>
  <c r="K43" i="5"/>
  <c r="O42" i="5"/>
  <c r="K42" i="5"/>
  <c r="O41" i="5"/>
  <c r="K41" i="5"/>
  <c r="O40" i="5"/>
  <c r="K40" i="5"/>
  <c r="O39" i="5"/>
  <c r="K39" i="5"/>
  <c r="O38" i="5"/>
  <c r="K38" i="5"/>
  <c r="O37" i="5"/>
  <c r="K37" i="5"/>
  <c r="O36" i="5"/>
  <c r="K36" i="5"/>
  <c r="O35" i="5"/>
  <c r="K35" i="5"/>
  <c r="F14" i="9" s="1"/>
  <c r="O34" i="5"/>
  <c r="K34" i="5"/>
  <c r="O33" i="5"/>
  <c r="K33" i="5"/>
  <c r="O32" i="5"/>
  <c r="K32" i="5"/>
  <c r="O31" i="5"/>
  <c r="K31" i="5"/>
  <c r="O30" i="5"/>
  <c r="K30" i="5"/>
  <c r="O29" i="5"/>
  <c r="K29" i="5"/>
  <c r="O28" i="5"/>
  <c r="K28" i="5"/>
  <c r="O27" i="5"/>
  <c r="K27" i="5"/>
  <c r="O26" i="5"/>
  <c r="K26" i="5"/>
  <c r="F13" i="9" s="1"/>
  <c r="O25" i="5"/>
  <c r="K25" i="5"/>
  <c r="O24" i="5"/>
  <c r="K24" i="5"/>
  <c r="O23" i="5"/>
  <c r="K23" i="5"/>
  <c r="O22" i="5"/>
  <c r="K22" i="5"/>
  <c r="O21" i="5"/>
  <c r="K21" i="5"/>
  <c r="O20" i="5"/>
  <c r="K20" i="5"/>
  <c r="O19" i="5"/>
  <c r="K19" i="5"/>
  <c r="O18" i="5"/>
  <c r="K18" i="5"/>
  <c r="O17" i="5"/>
  <c r="K17" i="5"/>
  <c r="F12" i="9" s="1"/>
  <c r="O16" i="5"/>
  <c r="K16" i="5"/>
  <c r="O15" i="5"/>
  <c r="K15" i="5"/>
  <c r="O14" i="5"/>
  <c r="K14" i="5"/>
  <c r="O13" i="5"/>
  <c r="K13" i="5"/>
  <c r="O12" i="5"/>
  <c r="K12" i="5"/>
  <c r="O11" i="5"/>
  <c r="K11" i="5"/>
  <c r="O10" i="5"/>
  <c r="K10" i="5"/>
  <c r="O9" i="5"/>
  <c r="K9" i="5"/>
  <c r="O8" i="5"/>
  <c r="K8" i="5"/>
  <c r="F11" i="9" s="1"/>
  <c r="O7" i="5"/>
  <c r="K7" i="5"/>
  <c r="O6" i="5"/>
  <c r="K6" i="5"/>
  <c r="O5" i="5"/>
  <c r="K5" i="5"/>
  <c r="C7" i="9" s="1"/>
  <c r="I76" i="2"/>
  <c r="C76" i="2"/>
  <c r="L76" i="2" s="1"/>
  <c r="I75" i="2"/>
  <c r="C75" i="2"/>
  <c r="L75" i="2" s="1"/>
  <c r="I74" i="2"/>
  <c r="C74" i="2"/>
  <c r="L74" i="2" s="1"/>
  <c r="I73" i="2"/>
  <c r="C73" i="2"/>
  <c r="L73" i="2" s="1"/>
  <c r="I72" i="2"/>
  <c r="C72" i="2"/>
  <c r="L72" i="2" s="1"/>
  <c r="I71" i="2"/>
  <c r="F20" i="1" s="1"/>
  <c r="C71" i="2"/>
  <c r="L71" i="2" s="1"/>
  <c r="I70" i="2"/>
  <c r="C70" i="2"/>
  <c r="L70" i="2" s="1"/>
  <c r="I69" i="2"/>
  <c r="C69" i="2"/>
  <c r="L69" i="2" s="1"/>
  <c r="I68" i="2"/>
  <c r="C68" i="2"/>
  <c r="L68" i="2" s="1"/>
  <c r="I67" i="2"/>
  <c r="C67" i="2"/>
  <c r="L67" i="2" s="1"/>
  <c r="I66" i="2"/>
  <c r="C66" i="2"/>
  <c r="L66" i="2" s="1"/>
  <c r="L65" i="2"/>
  <c r="I65" i="2"/>
  <c r="C65" i="2"/>
  <c r="I64" i="2"/>
  <c r="C64" i="2"/>
  <c r="L64" i="2" s="1"/>
  <c r="I63" i="2"/>
  <c r="C63" i="2"/>
  <c r="L63" i="2" s="1"/>
  <c r="I62" i="2"/>
  <c r="F14" i="1" s="1"/>
  <c r="C62" i="2"/>
  <c r="L62" i="2" s="1"/>
  <c r="I61" i="2"/>
  <c r="C61" i="2"/>
  <c r="L61" i="2" s="1"/>
  <c r="I60" i="2"/>
  <c r="C60" i="2"/>
  <c r="L60" i="2" s="1"/>
  <c r="L59" i="2"/>
  <c r="I59" i="2"/>
  <c r="C59" i="2"/>
  <c r="I58" i="2"/>
  <c r="C58" i="2"/>
  <c r="L58" i="2" s="1"/>
  <c r="I57" i="2"/>
  <c r="C57" i="2"/>
  <c r="L57" i="2" s="1"/>
  <c r="F17" i="1"/>
  <c r="I5" i="2"/>
  <c r="C5" i="2"/>
  <c r="L5" i="2" s="1"/>
  <c r="E21" i="1"/>
  <c r="D21" i="1"/>
  <c r="C21" i="1"/>
  <c r="B21" i="1"/>
  <c r="L20" i="1"/>
  <c r="K20" i="1"/>
  <c r="J20" i="1"/>
  <c r="I20" i="1"/>
  <c r="E20" i="1"/>
  <c r="D20" i="1"/>
  <c r="C20" i="1"/>
  <c r="B20" i="1"/>
  <c r="L19" i="1"/>
  <c r="K19" i="1"/>
  <c r="J19" i="1"/>
  <c r="I19" i="1"/>
  <c r="E19" i="1"/>
  <c r="D19" i="1"/>
  <c r="C19" i="1"/>
  <c r="B19" i="1"/>
  <c r="L18" i="1"/>
  <c r="K18" i="1"/>
  <c r="J18" i="1"/>
  <c r="I18" i="1"/>
  <c r="E18" i="1"/>
  <c r="D18" i="1"/>
  <c r="C18" i="1"/>
  <c r="B18" i="1"/>
  <c r="L17" i="1"/>
  <c r="K17" i="1"/>
  <c r="J17" i="1"/>
  <c r="I17" i="1"/>
  <c r="E17" i="1"/>
  <c r="D17" i="1"/>
  <c r="C17" i="1"/>
  <c r="B17" i="1"/>
  <c r="L16" i="1"/>
  <c r="K16" i="1"/>
  <c r="J16" i="1"/>
  <c r="I16" i="1"/>
  <c r="E16" i="1"/>
  <c r="D16" i="1"/>
  <c r="C16" i="1"/>
  <c r="B16" i="1"/>
  <c r="L15" i="1"/>
  <c r="K15" i="1"/>
  <c r="J15" i="1"/>
  <c r="I15" i="1"/>
  <c r="E15" i="1"/>
  <c r="D15" i="1"/>
  <c r="C15" i="1"/>
  <c r="B15" i="1"/>
  <c r="L14" i="1"/>
  <c r="K14" i="1"/>
  <c r="J14" i="1"/>
  <c r="I14" i="1"/>
  <c r="E14" i="1"/>
  <c r="D14" i="1"/>
  <c r="C14" i="1"/>
  <c r="B14" i="1"/>
  <c r="G7" i="1"/>
  <c r="E7" i="1"/>
  <c r="C7" i="1"/>
  <c r="A7" i="1"/>
  <c r="K5" i="1"/>
  <c r="G5" i="1"/>
  <c r="F19" i="1" l="1"/>
  <c r="F16" i="1"/>
  <c r="F15" i="1"/>
  <c r="I7" i="1"/>
  <c r="M14" i="1"/>
  <c r="F21" i="1"/>
  <c r="F18" i="1"/>
</calcChain>
</file>

<file path=xl/sharedStrings.xml><?xml version="1.0" encoding="utf-8"?>
<sst xmlns="http://schemas.openxmlformats.org/spreadsheetml/2006/main" count="6816" uniqueCount="2539">
  <si>
    <t>7天海外版上线推进看板</t>
  </si>
  <si>
    <t>原7天运营计划保留；新增“研发总览、开发进度、测试进度、模拟对局、部署方案”。开发/测试/部署请以新增工作表为主。</t>
  </si>
  <si>
    <t>项目开始日期（可修改）</t>
  </si>
  <si>
    <t>目标上线日期</t>
  </si>
  <si>
    <t>当前第几天</t>
  </si>
  <si>
    <t>使用方式：在“7天任务”中更新状态</t>
  </si>
  <si>
    <t>总任务</t>
  </si>
  <si>
    <t>已完成</t>
  </si>
  <si>
    <t>进行中 / 待审核</t>
  </si>
  <si>
    <t>已阻塞</t>
  </si>
  <si>
    <t>总体完成率</t>
  </si>
  <si>
    <t>按分类查看进度</t>
  </si>
  <si>
    <t>按天查看进度</t>
  </si>
  <si>
    <t>分类</t>
  </si>
  <si>
    <t>任务数</t>
  </si>
  <si>
    <t>进行中/待审核</t>
  </si>
  <si>
    <t>完成率</t>
  </si>
  <si>
    <t>天数</t>
  </si>
  <si>
    <t>日期</t>
  </si>
  <si>
    <t>产品开发与上线</t>
  </si>
  <si>
    <t>第1天</t>
  </si>
  <si>
    <t>产品付费与审核</t>
  </si>
  <si>
    <t>第2天</t>
  </si>
  <si>
    <t>产品推广与内容</t>
  </si>
  <si>
    <t>第3天</t>
  </si>
  <si>
    <t>用户测试与运营</t>
  </si>
  <si>
    <t>第4天</t>
  </si>
  <si>
    <t>品牌与账号基础</t>
  </si>
  <si>
    <t>第5天</t>
  </si>
  <si>
    <t>合规与风险</t>
  </si>
  <si>
    <t>第6天</t>
  </si>
  <si>
    <t>测试与质量</t>
  </si>
  <si>
    <t>第7天</t>
  </si>
  <si>
    <t>部署与运维</t>
  </si>
  <si>
    <t>建议：原“7天任务”用于外部上线节奏；研发功能、自动测试、模拟对局和部署必须分别在新增工作表达到P0发布闸门。</t>
  </si>
  <si>
    <t>7天海外版上线任务清单</t>
  </si>
  <si>
    <t>只需重点维护：状态、实际完成日、卡点/问题、下一步动作、链接/备注。日期会根据总览中的开始日期自动计算。</t>
  </si>
  <si>
    <t>编号</t>
  </si>
  <si>
    <t>任务</t>
  </si>
  <si>
    <t>交付/完成标准</t>
  </si>
  <si>
    <t>优先级</t>
  </si>
  <si>
    <t>状态</t>
  </si>
  <si>
    <t>自动进度</t>
  </si>
  <si>
    <t>外部依赖/等待对象</t>
  </si>
  <si>
    <t>负责人</t>
  </si>
  <si>
    <t>截止日</t>
  </si>
  <si>
    <t>实际完成日</t>
  </si>
  <si>
    <t>卡点/问题</t>
  </si>
  <si>
    <t>下一步动作</t>
  </si>
  <si>
    <t>链接/备注</t>
  </si>
  <si>
    <t>确认英文产品名与统一品牌写法</t>
  </si>
  <si>
    <t>确定一个用于官网、社媒、Creem与itch.io的统一英文品牌名</t>
  </si>
  <si>
    <t>P0</t>
  </si>
  <si>
    <t>域名/商标检索</t>
  </si>
  <si>
    <t>我</t>
  </si>
  <si>
    <t>注册产品域名</t>
  </si>
  <si>
    <t>域名已购买，可正常解析，续费信息已保存</t>
  </si>
  <si>
    <t>域名注册商</t>
  </si>
  <si>
    <t>配置HTTPS与基础DNS</t>
  </si>
  <si>
    <t>官网域名可通过HTTPS访问，不出现证书错误</t>
  </si>
  <si>
    <t>域名注册商/托管平台</t>
  </si>
  <si>
    <t>配置客服邮箱</t>
  </si>
  <si>
    <r>
      <rPr>
        <sz val="11"/>
        <color theme="10"/>
        <rFont val="Carlito"/>
        <family val="2"/>
      </rPr>
      <t>support@</t>
    </r>
    <r>
      <rPr>
        <sz val="11"/>
        <color theme="10"/>
        <rFont val="微软雅黑"/>
        <family val="2"/>
      </rPr>
      <t>域名</t>
    </r>
    <r>
      <rPr>
        <sz val="11"/>
        <color theme="10"/>
        <rFont val="Carlito"/>
        <family val="2"/>
      </rPr>
      <t xml:space="preserve"> </t>
    </r>
    <r>
      <rPr>
        <sz val="11"/>
        <color theme="10"/>
        <rFont val="微软雅黑"/>
        <family val="2"/>
      </rPr>
      <t>邮箱可正常收发邮件</t>
    </r>
  </si>
  <si>
    <t>邮箱服务商</t>
  </si>
  <si>
    <t>注册Creem并创建商店</t>
  </si>
  <si>
    <t>Creem后台可访问，商店名称与品牌一致</t>
  </si>
  <si>
    <t>Creem</t>
  </si>
  <si>
    <t>确认个人入驻资料</t>
  </si>
  <si>
    <t>实名认证姓名、国家、税务居民信息与收款账户一致</t>
  </si>
  <si>
    <t>未开始</t>
  </si>
  <si>
    <t>个人证件/支付宝</t>
  </si>
  <si>
    <t>提交KYC/KYB认证</t>
  </si>
  <si>
    <t>认证已提交，后台显示审核中或已通过</t>
  </si>
  <si>
    <t>Creem审核</t>
  </si>
  <si>
    <t>注册TikTok账号</t>
  </si>
  <si>
    <t>账号注册成功，用户名已占用并记录</t>
  </si>
  <si>
    <t>P1</t>
  </si>
  <si>
    <t>TikTok</t>
  </si>
  <si>
    <t>注册YouTube频道</t>
  </si>
  <si>
    <t>频道创建成功，Handle已占用并记录</t>
  </si>
  <si>
    <t>YouTube</t>
  </si>
  <si>
    <t>注册X账号</t>
  </si>
  <si>
    <t>P2</t>
  </si>
  <si>
    <t>X</t>
  </si>
  <si>
    <t>注册Reddit账号</t>
  </si>
  <si>
    <t>账号注册成功，完成基础安全设置</t>
  </si>
  <si>
    <t>Reddit</t>
  </si>
  <si>
    <t>创建Discord服务器</t>
  </si>
  <si>
    <t>服务器创建成功，邀请链接可用</t>
  </si>
  <si>
    <t>Discord</t>
  </si>
  <si>
    <t>注册itch.io账号</t>
  </si>
  <si>
    <t>账号可登录，已具备创建项目页权限</t>
  </si>
  <si>
    <t>itch.io</t>
  </si>
  <si>
    <t>锁定统一用户名</t>
  </si>
  <si>
    <t>各渠道用户名尽量一致，并在账号表中记录</t>
  </si>
  <si>
    <t>各平台账号</t>
  </si>
  <si>
    <t>检索产品名与商标冲突</t>
  </si>
  <si>
    <t>完成基础搜索，未发现明显同类强冲突；结果留档</t>
  </si>
  <si>
    <t>搜索引擎/商标数据库</t>
  </si>
  <si>
    <t>上线英文首页</t>
  </si>
  <si>
    <t>独立域名可访问；首屏能在30秒内说明产品价值</t>
  </si>
  <si>
    <t>托管平台/域名</t>
  </si>
  <si>
    <t>上线价格展示</t>
  </si>
  <si>
    <t>页面清晰展示 $9.99 或测试价格与包含内容</t>
  </si>
  <si>
    <t>定价决策</t>
  </si>
  <si>
    <t>发布隐私政策</t>
  </si>
  <si>
    <t>Privacy Policy可访问，说明数据收集、AI内容与删除方式</t>
  </si>
  <si>
    <t>进行中</t>
  </si>
  <si>
    <t>政策文本</t>
  </si>
  <si>
    <t>发布用户协议</t>
  </si>
  <si>
    <t>Terms of Service可访问，说明使用规则、年龄限制与责任边界</t>
  </si>
  <si>
    <t>发布退款政策</t>
  </si>
  <si>
    <t>Refund Policy可访问，明确退款条件和处理时限</t>
  </si>
  <si>
    <t>完善网站页脚与联系信息</t>
  </si>
  <si>
    <t>页脚含开发者/商店信息、客服邮箱与政策链接</t>
  </si>
  <si>
    <t>客服邮箱</t>
  </si>
  <si>
    <t>准备Creem审核材料</t>
  </si>
  <si>
    <t>产品介绍、价格、网站、截图/演示、政策页面均可提交</t>
  </si>
  <si>
    <t>Creem审核要求</t>
  </si>
  <si>
    <t>完成社媒账号头像、简介和链接</t>
  </si>
  <si>
    <t>所有主要账号均有统一头像、简介和官网链接</t>
  </si>
  <si>
    <t>品牌素材</t>
  </si>
  <si>
    <t>配置基础访问分析</t>
  </si>
  <si>
    <t>可查看来源、落地页访问、注册/试玩/付款点击</t>
  </si>
  <si>
    <t>分析工具</t>
  </si>
  <si>
    <t>策划首批5条短视频脚本</t>
  </si>
  <si>
    <t>每条含前2秒钩子、冲突、结果与行动号召</t>
  </si>
  <si>
    <t>视频脚本</t>
  </si>
  <si>
    <t>制作首批5条短视频</t>
  </si>
  <si>
    <t>完成5条15-30秒竖屏视频，可直接发布</t>
  </si>
  <si>
    <t>剪辑工具/素材</t>
  </si>
  <si>
    <t>创建itch.io草稿页面</t>
  </si>
  <si>
    <t>项目描述、封面、截图、标签、试玩入口已填写</t>
  </si>
  <si>
    <t>搭建Discord基础频道</t>
  </si>
  <si>
    <t>包含公告、找玩家、测试安排、反馈、Bug、精彩结局频道</t>
  </si>
  <si>
    <t>建立目标社区清单</t>
  </si>
  <si>
    <t>整理Reddit/Discord/TTRPG/AI游戏社区及自推广规则</t>
  </si>
  <si>
    <t>社区规则</t>
  </si>
  <si>
    <t>建立Beta报名与反馈入口</t>
  </si>
  <si>
    <t>表单可收集邮箱、玩家类型、可测试时间和反馈授权</t>
  </si>
  <si>
    <t>表单工具</t>
  </si>
  <si>
    <t>处理Creem审核反馈</t>
  </si>
  <si>
    <t>所有补充材料已提交；记录剩余阻塞项</t>
  </si>
  <si>
    <t>发布第一批TikTok视频</t>
  </si>
  <si>
    <t>至少发布2条，并记录24小时播放、点击与评论</t>
  </si>
  <si>
    <t>发布第一批YouTube Shorts</t>
  </si>
  <si>
    <t>至少发布2条，并记录24小时播放与点击</t>
  </si>
  <si>
    <t>邀请10-20名定向测试用户</t>
  </si>
  <si>
    <t>已发出邀请并确认至少5人愿意实际试玩</t>
  </si>
  <si>
    <t>测试用户</t>
  </si>
  <si>
    <t>联系3-5名小型内容创作者</t>
  </si>
  <si>
    <t>发送个性化试玩邀请，记录回复和跟进时间</t>
  </si>
  <si>
    <t>创作者名单</t>
  </si>
  <si>
    <t>检查海外访问与所有外链</t>
  </si>
  <si>
    <t>从海外网络或测速工具验证官网、登录、政策和支付链接</t>
  </si>
  <si>
    <t>网络/托管平台</t>
  </si>
  <si>
    <t>正式公开itch.io项目页</t>
  </si>
  <si>
    <t>项目页公开可访问，试玩按钮和官网链接有效</t>
  </si>
  <si>
    <t>itch.io审核/索引</t>
  </si>
  <si>
    <t>发布第一篇Reddit开发过程帖</t>
  </si>
  <si>
    <t>遵守社区规则，内容以开发经验和求反馈为主</t>
  </si>
  <si>
    <t>Reddit社区规则</t>
  </si>
  <si>
    <t>组织Discord第一批测试</t>
  </si>
  <si>
    <t>确定时间、参与者、测试说明和反馈方式</t>
  </si>
  <si>
    <t>收集可公开使用的玩家评价</t>
  </si>
  <si>
    <t>至少获得2条明确授权使用的真实评价</t>
  </si>
  <si>
    <t>玩家授权</t>
  </si>
  <si>
    <t>沉淀真实对局传播素材</t>
  </si>
  <si>
    <t>保存至少3个反转/背叛/不同结局素材</t>
  </si>
  <si>
    <t>测试对局</t>
  </si>
  <si>
    <t>发布第二批短视频</t>
  </si>
  <si>
    <t>根据首批数据优化后再发布2-3条</t>
  </si>
  <si>
    <t>TikTok/YouTube</t>
  </si>
  <si>
    <t>把真实游戏结果制作成内容</t>
  </si>
  <si>
    <t>至少完成2条基于真实测试结果的短视频或图文</t>
  </si>
  <si>
    <t>玩家授权/素材</t>
  </si>
  <si>
    <t>联系更多细分创作者</t>
  </si>
  <si>
    <t>新增联系TTRPG、AI游戏、互动小说创作者5-10名</t>
  </si>
  <si>
    <t>准备Founder Pass或邀请码方案</t>
  </si>
  <si>
    <t>明确资格、免费次数、有效期和使用规则</t>
  </si>
  <si>
    <t>Creem/邀请码系统</t>
  </si>
  <si>
    <t>确定最佳推广素材</t>
  </si>
  <si>
    <t>基于播放、点击、试玩转化选出1-2条主推素材</t>
  </si>
  <si>
    <t>渠道数据</t>
  </si>
  <si>
    <t>海外Limited Beta公开</t>
  </si>
  <si>
    <t>官网可访问，用户可进入Beta，状态页/客服渠道可用</t>
  </si>
  <si>
    <t>托管平台</t>
  </si>
  <si>
    <t>Creem通过则开放$9.99支付</t>
  </si>
  <si>
    <t>真实支付链接可用，商品描述与退款政策一致</t>
  </si>
  <si>
    <t>Creem未通过则启用候补方案</t>
  </si>
  <si>
    <t>Founder候补/保留价格入口可提交并记录</t>
  </si>
  <si>
    <t>表单/邮件</t>
  </si>
  <si>
    <t>集中发布表现最佳素材</t>
  </si>
  <si>
    <t>把最佳素材同步到主要渠道并设置统一落地页链接</t>
  </si>
  <si>
    <t>TikTok/YouTube/X</t>
  </si>
  <si>
    <t>上线日客服与评论响应</t>
  </si>
  <si>
    <t>建立响应节奏，记录问题、退款、举报与高频疑问</t>
  </si>
  <si>
    <t>客服邮箱/社媒</t>
  </si>
  <si>
    <t>完成上线复盘与下周决策</t>
  </si>
  <si>
    <t>汇总流量、试玩、付费意愿、审核状态和下周优先级</t>
  </si>
  <si>
    <t>数据与反馈</t>
  </si>
  <si>
    <t>完成现有代码与需求差距审计</t>
  </si>
  <si>
    <t>按唯一工程基线形成已实现/缺失/冲突清单；明确登录、房间、API、AI、数据库与部署缺口</t>
  </si>
  <si>
    <t>需求文档/代码仓库</t>
  </si>
  <si>
    <t>我/Codex</t>
  </si>
  <si>
    <t>当前功能约30%，缺口较多</t>
  </si>
  <si>
    <t>先完成代码审计</t>
  </si>
  <si>
    <t>详见“开发进度”</t>
  </si>
  <si>
    <t>建立Supabase开发环境</t>
  </si>
  <si>
    <t>Supabase Auth/Postgres可连接；密钥分前端anon与服务端service role</t>
  </si>
  <si>
    <t>Supabase</t>
  </si>
  <si>
    <t>创建项目并保存环境变量</t>
  </si>
  <si>
    <t>详见“部署方案”</t>
  </si>
  <si>
    <t>确定MVP部署架构</t>
  </si>
  <si>
    <t>明确Vercel前端、NestJS后端、Supabase数据库/Auth、LLM和Creem的部署方式</t>
  </si>
  <si>
    <t>Vercel/Railway/Supabase</t>
  </si>
  <si>
    <t>确认后端是否部署Railway</t>
  </si>
  <si>
    <t>实现登录/注册与会话恢复</t>
  </si>
  <si>
    <t>邮箱登录可用；刷新、退出、重新登录和受保护路由正常</t>
  </si>
  <si>
    <t>Supabase Auth</t>
  </si>
  <si>
    <t>Codex</t>
  </si>
  <si>
    <t>当前缺少登录</t>
  </si>
  <si>
    <t>实现Magic Link/OTP与路由保护</t>
  </si>
  <si>
    <t>实现创建故事局/开启房间</t>
  </si>
  <si>
    <t>登录后可创建StoryRun并跳转 /game?runId；双击不重复创建</t>
  </si>
  <si>
    <t>登录/StoryRun API</t>
  </si>
  <si>
    <t>当前缺少开启房间</t>
  </si>
  <si>
    <t>实现POST /api/v4/story-runs</t>
  </si>
  <si>
    <t>实现进入与恢复房间</t>
  </si>
  <si>
    <t>输入runId或“继续游戏”可恢复；无效和越权runId明确拒绝</t>
  </si>
  <si>
    <t>登录/GET run</t>
  </si>
  <si>
    <t>当前缺少进入房间</t>
  </si>
  <si>
    <t>实现我的游戏与恢复入口</t>
  </si>
  <si>
    <t>数据库化StoryRun/StoryEvent/AiTask</t>
  </si>
  <si>
    <t>运行态进入Supabase PostgreSQL；浏览器只保存runId和非权威UI状态</t>
  </si>
  <si>
    <t>Supabase/Prisma</t>
  </si>
  <si>
    <t>执行Schema与迁移</t>
  </si>
  <si>
    <t>完成v4核心API闭环</t>
  </si>
  <si>
    <t>stories/roles/create/get/messages/dashboard/decision/maneuver/advance/finalize可用</t>
  </si>
  <si>
    <t>NestJS/数据库</t>
  </si>
  <si>
    <t>按API契约逐个实现</t>
  </si>
  <si>
    <t>完成主游戏8种UI状态接入</t>
  </si>
  <si>
    <t>单路由、固定三栏、持续叙事、决策、推演、变化、记录、弹窗和谋划全部接真实状态</t>
  </si>
  <si>
    <t>v4 API/现有UI</t>
  </si>
  <si>
    <t>UI已有设计但功能未闭环</t>
  </si>
  <si>
    <t>按状态机接入真实数据</t>
  </si>
  <si>
    <t>实现主线决策与ActionGuard</t>
  </si>
  <si>
    <t>A/B/C回填、1-200字、越权拦截、规则补丁、幂等与version冲突正常</t>
  </si>
  <si>
    <t>规则引擎/API</t>
  </si>
  <si>
    <t>先完成预设选项，再接自定义Guard</t>
  </si>
  <si>
    <t>实现主动谋划与关键事件</t>
  </si>
  <si>
    <t>每日2次谋划；接触/调查/筹码/自拟；关键事件立即或稍后处理</t>
  </si>
  <si>
    <t>实现计数、跨日重置和defer</t>
  </si>
  <si>
    <t>接入AI结构化输出与Fallback</t>
  </si>
  <si>
    <t>真实模型输出Schema校验；超时重试1次；双失败规则Fallback完成落账</t>
  </si>
  <si>
    <t>LLM/AiTask</t>
  </si>
  <si>
    <t>先mock后真实模型</t>
  </si>
  <si>
    <t>跑通Creem Test支付闭环</t>
  </si>
  <si>
    <t>创建Checkout、Webhook签名、重复通知幂等、支付后权益可见</t>
  </si>
  <si>
    <t>Creem/公网API</t>
  </si>
  <si>
    <t>Webhook与密钥仍需完整验证</t>
  </si>
  <si>
    <t>完成Test Mode端到端支付</t>
  </si>
  <si>
    <t>详见“开发进度/部署方案”</t>
  </si>
  <si>
    <t>实现日志、埋点与安全隔离</t>
  </si>
  <si>
    <t>结构化日志、核心漏斗埋点、RLS/CORS、HTML转义和私密字段扫描生效</t>
  </si>
  <si>
    <t>API/前端/Supabase</t>
  </si>
  <si>
    <t>先做P0安全和错误日志</t>
  </si>
  <si>
    <t>完成P0自动化测试</t>
  </si>
  <si>
    <t>功能、Guard、因果、信息隔离、并发、恢复与UI的P0用例全部通过</t>
  </si>
  <si>
    <t>测试脚本/CI</t>
  </si>
  <si>
    <t>当前缺少系统测试</t>
  </si>
  <si>
    <t>按“测试进度”逐项执行</t>
  </si>
  <si>
    <t>详见“测试进度”</t>
  </si>
  <si>
    <t>完成至少20局模拟测试</t>
  </si>
  <si>
    <t>覆盖A/B/C/Mixed、0/1/2谋划、关键事件、AI故障、刷新和并发</t>
  </si>
  <si>
    <t>staging/mock/真实模型</t>
  </si>
  <si>
    <t>Codex/我</t>
  </si>
  <si>
    <t>当前缺少模拟测试</t>
  </si>
  <si>
    <t>先自动模拟，再人工试玩</t>
  </si>
  <si>
    <t>详见“模拟对局”</t>
  </si>
  <si>
    <t>完成安全与信息隔离检查</t>
  </si>
  <si>
    <t>用户越权、前台私密字段、HTML注入、密钥泄露和日志脱敏全部通过</t>
  </si>
  <si>
    <t>安全扫描/HTTP</t>
  </si>
  <si>
    <t>执行I类、AUTH和DEP安全用例</t>
  </si>
  <si>
    <t>部署staging环境</t>
  </si>
  <si>
    <t>Vercel Web、API、Supabase、Creem Test、真实AI与Fallback独立可用</t>
  </si>
  <si>
    <t>按部署任务表配置</t>
  </si>
  <si>
    <t>完成冒烟、备份、监控和回滚演练</t>
  </si>
  <si>
    <t>staging端到端通过；备份可恢复；日志告警和上一版本回滚可用</t>
  </si>
  <si>
    <t>staging/监控</t>
  </si>
  <si>
    <t>执行DEP用例</t>
  </si>
  <si>
    <t>详见“部署方案/测试进度”</t>
  </si>
  <si>
    <t>生产部署与最终发布闸门</t>
  </si>
  <si>
    <t>P0开发完成、P0测试通过、20局无死路、生产冒烟通过后才公开Beta</t>
  </si>
  <si>
    <t>全部前置</t>
  </si>
  <si>
    <t>完成发布评审并记录版本</t>
  </si>
  <si>
    <t>详见“研发总览/上线验收”</t>
  </si>
  <si>
    <t>账号、审核与外部依赖追踪</t>
  </si>
  <si>
    <t>将所有会卡住上线的外部事项集中记录：账号、审核、域名、邮箱、政策页、创作者和社区。</t>
  </si>
  <si>
    <t>类型</t>
  </si>
  <si>
    <t>平台/事项</t>
  </si>
  <si>
    <t>用途</t>
  </si>
  <si>
    <t>目标用户名/名称</t>
  </si>
  <si>
    <t>注册状态</t>
  </si>
  <si>
    <t>资料完善</t>
  </si>
  <si>
    <t>审核状态</t>
  </si>
  <si>
    <t>URL/入口</t>
  </si>
  <si>
    <t>下一步</t>
  </si>
  <si>
    <t>备注</t>
  </si>
  <si>
    <t>基础设施</t>
  </si>
  <si>
    <t>产品域名</t>
  </si>
  <si>
    <t>官网与品牌入口</t>
  </si>
  <si>
    <t>不适用</t>
  </si>
  <si>
    <t>注册并解析</t>
  </si>
  <si>
    <t>Creem审核与用户支持</t>
  </si>
  <si>
    <t>support@你的域名</t>
  </si>
  <si>
    <t>配置收发与签名</t>
  </si>
  <si>
    <t>支付审核</t>
  </si>
  <si>
    <t>海外收款与税务处理</t>
  </si>
  <si>
    <t>已注册</t>
  </si>
  <si>
    <t>待审核</t>
  </si>
  <si>
    <t>完成KYC/审核</t>
  </si>
  <si>
    <t>当前处于测试模式</t>
  </si>
  <si>
    <t>推广账号</t>
  </si>
  <si>
    <t>短视频自然流量</t>
  </si>
  <si>
    <t>注册并锁定用户名</t>
  </si>
  <si>
    <t>Shorts与长期内容</t>
  </si>
  <si>
    <t>创建频道</t>
  </si>
  <si>
    <t>开发者传播与更新</t>
  </si>
  <si>
    <t>注册并完善资料</t>
  </si>
  <si>
    <t>高意愿测试用户</t>
  </si>
  <si>
    <t>注册并观察社区规则</t>
  </si>
  <si>
    <t>社区运营</t>
  </si>
  <si>
    <t>测试组织与长期社群</t>
  </si>
  <si>
    <t>创建服务器和频道</t>
  </si>
  <si>
    <t>游戏平台</t>
  </si>
  <si>
    <t>浏览器游戏展示与可信度</t>
  </si>
  <si>
    <t>创建项目草稿</t>
  </si>
  <si>
    <t>合规页面</t>
  </si>
  <si>
    <t>Privacy Policy</t>
  </si>
  <si>
    <t>数据与隐私说明</t>
  </si>
  <si>
    <t>发布并链接到页脚</t>
  </si>
  <si>
    <t>Terms of Service</t>
  </si>
  <si>
    <t>用户规则与责任边界</t>
  </si>
  <si>
    <t>Refund Policy</t>
  </si>
  <si>
    <t>退款条件和处理时限</t>
  </si>
  <si>
    <t>推广资源</t>
  </si>
  <si>
    <t>小型内容创作者</t>
  </si>
  <si>
    <t>试玩与内容合作</t>
  </si>
  <si>
    <t>待联系</t>
  </si>
  <si>
    <t>建立名单并逐一联系</t>
  </si>
  <si>
    <t>目标社区清单</t>
  </si>
  <si>
    <t>Reddit/Discord/TTRPG/AI游戏</t>
  </si>
  <si>
    <t>待研究</t>
  </si>
  <si>
    <t>记录规则和发帖窗口</t>
  </si>
  <si>
    <t>海外 Limited Beta 上线验收清单</t>
  </si>
  <si>
    <t>只有“上线必须项”全部完成或有明确备用方案时，才执行第7天公开发布。</t>
  </si>
  <si>
    <t>验收项</t>
  </si>
  <si>
    <t>完成标准</t>
  </si>
  <si>
    <t>是否必须</t>
  </si>
  <si>
    <t>证据/链接</t>
  </si>
  <si>
    <t>独立域名与HTTPS</t>
  </si>
  <si>
    <t>官网通过HTTPS稳定访问</t>
  </si>
  <si>
    <t>必须</t>
  </si>
  <si>
    <t>客服邮箱可用</t>
  </si>
  <si>
    <t>support@域名 可正常收发</t>
  </si>
  <si>
    <t>网站</t>
  </si>
  <si>
    <t>英文首页已上线</t>
  </si>
  <si>
    <t>价值主张、试玩入口、价格清晰</t>
  </si>
  <si>
    <t>移动端可访问</t>
  </si>
  <si>
    <t>手机浏览不影响阅读和转化</t>
  </si>
  <si>
    <t>合规</t>
  </si>
  <si>
    <t>页面公开且页脚可访问</t>
  </si>
  <si>
    <t>页面公开且价格页可访问</t>
  </si>
  <si>
    <t>支付</t>
  </si>
  <si>
    <t>Creem KYC已提交</t>
  </si>
  <si>
    <t>后台显示审核中或已通过</t>
  </si>
  <si>
    <t>Creem真实收款可用或有备用方案</t>
  </si>
  <si>
    <t>Live支付可用；否则Founder候补可用</t>
  </si>
  <si>
    <t>商品名称与价格一致</t>
  </si>
  <si>
    <t>官网、Creem与退款政策描述一致</t>
  </si>
  <si>
    <t>推广</t>
  </si>
  <si>
    <t>至少5条短视频已准备</t>
  </si>
  <si>
    <t>可直接发布，含统一落地页链接</t>
  </si>
  <si>
    <t>主要社媒账号可用</t>
  </si>
  <si>
    <t>TikTok、YouTube至少已注册并完善</t>
  </si>
  <si>
    <t>itch.io页面可访问</t>
  </si>
  <si>
    <t>项目页公开，试玩入口有效</t>
  </si>
  <si>
    <t>建议</t>
  </si>
  <si>
    <t>用户运营</t>
  </si>
  <si>
    <t>至少5名真实测试者已确认</t>
  </si>
  <si>
    <t>已确认具体测试时间或完成试玩</t>
  </si>
  <si>
    <t>Discord/反馈入口可用</t>
  </si>
  <si>
    <t>玩家可提交Bug和意见</t>
  </si>
  <si>
    <t>上线日支持流程</t>
  </si>
  <si>
    <t>明确谁处理评论、客服、退款和举报</t>
  </si>
  <si>
    <t>数据</t>
  </si>
  <si>
    <t>访问与转化数据可查看</t>
  </si>
  <si>
    <t>至少能看来源、试玩、购买点击</t>
  </si>
  <si>
    <t>备用方案</t>
  </si>
  <si>
    <t>Creem未通过时不阻塞上线</t>
  </si>
  <si>
    <t>免费Beta+Founder候补入口已测试</t>
  </si>
  <si>
    <t>账号</t>
  </si>
  <si>
    <t>用户登录与会话恢复</t>
  </si>
  <si>
    <t>邮箱登录可用；刷新与重新登录可恢复账号和历史故事局</t>
  </si>
  <si>
    <t>缺少登录时不能形成付费账号闭环</t>
  </si>
  <si>
    <t>核心功能</t>
  </si>
  <si>
    <t>创建故事局/开启房间</t>
  </si>
  <si>
    <t>登录后可创建StoryRun并进入/game?runId</t>
  </si>
  <si>
    <t>幂等创建，不重复产生房间</t>
  </si>
  <si>
    <t>进入与恢复房间</t>
  </si>
  <si>
    <t>有效runId可恢复；无效/越权runId明确拒绝</t>
  </si>
  <si>
    <t>浏览器不保存权威状态</t>
  </si>
  <si>
    <t>7天主线闭环</t>
  </si>
  <si>
    <t>第1-6天共12次主线决策，第7天完成全局与个人结局</t>
  </si>
  <si>
    <t>至少一条完整路径通过</t>
  </si>
  <si>
    <t>主动谋划与关键事件</t>
  </si>
  <si>
    <t>每天最多2次谋划；关键事件可立即/稍后并正确计数</t>
  </si>
  <si>
    <t>不替代主线决策</t>
  </si>
  <si>
    <t>AI稳定性</t>
  </si>
  <si>
    <t>AI重试与规则Fallback</t>
  </si>
  <si>
    <t>AI连续失败时仍能正常落账和完成一局，用户不见技术错误</t>
  </si>
  <si>
    <t>fallback失败才显示可恢复错误</t>
  </si>
  <si>
    <t>数据安全</t>
  </si>
  <si>
    <t>登录权限与私密字段隔离</t>
  </si>
  <si>
    <t>用户不能读取他人局；公共响应无隐藏推理、内部收益风险和密钥</t>
  </si>
  <si>
    <t>安全扫描必须通过</t>
  </si>
  <si>
    <t>测试</t>
  </si>
  <si>
    <t>P0自动化测试通过</t>
  </si>
  <si>
    <t>功能、ActionGuard、并发、恢复、UI与信息隔离P0用例100%通过</t>
  </si>
  <si>
    <t>20局连续模拟通过</t>
  </si>
  <si>
    <t>A/B/C/Mixed、0/1/2谋划、故障恢复均无死路</t>
  </si>
  <si>
    <t>部署</t>
  </si>
  <si>
    <t>Staging完整可用</t>
  </si>
  <si>
    <t>独立数据库、Creem Test、真实模型+fallback、日志与告警可用</t>
  </si>
  <si>
    <t>不能与production共享密钥</t>
  </si>
  <si>
    <t>Production部署与备份</t>
  </si>
  <si>
    <t>Web、API、Supabase、域名、迁移、备份、回滚和Health Check完成</t>
  </si>
  <si>
    <t>上线闸门</t>
  </si>
  <si>
    <t>生产冒烟与回滚演练</t>
  </si>
  <si>
    <t>首页→登录→创建局→决策→刷新恢复→支付/候补全链路通过</t>
  </si>
  <si>
    <t>失败则停止公开发布</t>
  </si>
  <si>
    <t>AI多人剧情推演｜MVP开发进度</t>
  </si>
  <si>
    <t>模块</t>
  </si>
  <si>
    <t>子模块</t>
  </si>
  <si>
    <t>功能/任务</t>
  </si>
  <si>
    <t>实现说明</t>
  </si>
  <si>
    <t>交付/验收标准</t>
  </si>
  <si>
    <t>需求依据</t>
  </si>
  <si>
    <t>上线阻断</t>
  </si>
  <si>
    <t>前置依赖</t>
  </si>
  <si>
    <t>建议阶段</t>
  </si>
  <si>
    <t>计划完成日</t>
  </si>
  <si>
    <t>DEV-001</t>
  </si>
  <si>
    <t>工程基线</t>
  </si>
  <si>
    <t>仓库审计</t>
  </si>
  <si>
    <t>核对现有代码与唯一工程基线</t>
  </si>
  <si>
    <t>盘点 apps/web、apps/api、packages/shared、packages/templates、Prisma 和现有分支，形成“已实现/缺失/冲突”清单。</t>
  </si>
  <si>
    <t>清单覆盖登录、入口、StoryRun、8种UI状态、AI、数据库、测试和部署；所有冲突有处理结论。</t>
  </si>
  <si>
    <t>01基线§1-2；07 PRD§18</t>
  </si>
  <si>
    <t>是</t>
  </si>
  <si>
    <t>Codex+我</t>
  </si>
  <si>
    <t>DEV-002</t>
  </si>
  <si>
    <t>范围锁定</t>
  </si>
  <si>
    <t>锁定 Web 单人 MVP 范围</t>
  </si>
  <si>
    <t>当前只做《桑田诏》、浙江总督、7天、12次主线决策、每日2次谋划；真人多人仅预留。</t>
  </si>
  <si>
    <t>代码、页面和接口不存在同时开发真人多人/小程序/两套前端的分叉。</t>
  </si>
  <si>
    <t>01基线§2；07 PRD§3</t>
  </si>
  <si>
    <t>代码审计</t>
  </si>
  <si>
    <t>DEV-003</t>
  </si>
  <si>
    <t>前端基线</t>
  </si>
  <si>
    <t>确认 apps/web 为唯一正式前端</t>
  </si>
  <si>
    <t>沿用现有 apps/web，不新建 player-web，不在本轮迁移技术栈。</t>
  </si>
  <si>
    <t>构建与部署只产出一套正式 Web；路由符合基线。</t>
  </si>
  <si>
    <t>01基线§5</t>
  </si>
  <si>
    <t>DEV-004</t>
  </si>
  <si>
    <t>后端基线</t>
  </si>
  <si>
    <t>确认 apps/api NestJS 与 /api/v4</t>
  </si>
  <si>
    <t>统一 API 前缀、异常格式、共享类型和请求校验。</t>
  </si>
  <si>
    <t>健康检查与 v4 路由可访问，旧接口仅在适配层保留。</t>
  </si>
  <si>
    <t>01基线§6；02状态机§9</t>
  </si>
  <si>
    <t>DEV-005</t>
  </si>
  <si>
    <t>共享契约</t>
  </si>
  <si>
    <t>统一字段与共享类型</t>
  </si>
  <si>
    <t>统一 templateKey、selectedRoleKey、runId、eventId、version、optionKey、customText、maneuverType 等字段。</t>
  </si>
  <si>
    <t>前后端编译通过；新接口无 storyId/templateId/messageId 混用。</t>
  </si>
  <si>
    <t>01基线§6.2；02状态机§1</t>
  </si>
  <si>
    <t>DEV-006</t>
  </si>
  <si>
    <t>配置校验</t>
  </si>
  <si>
    <t>接入剧本 JSON Schema 与跨文件 lint</t>
  </si>
  <si>
    <t>将 Markdown 剧本编译为 story/roles/days/decisions/maneuvers/leverage/endings/context-cards JSON，并用 AJV 校验。</t>
  </si>
  <si>
    <t>构建时能发现缺失角色、无效变量、超过12个决策、不可达结局、公共字段泄露。</t>
  </si>
  <si>
    <t>03 Schema§1-12</t>
  </si>
  <si>
    <t>DEV-007</t>
  </si>
  <si>
    <t>构建命令</t>
  </si>
  <si>
    <t>统一本地与 CI 命令</t>
  </si>
  <si>
    <t>配置 install、typecheck、config lint、unit、service、HTTP、E2E 和安全投影测试命令。</t>
  </si>
  <si>
    <t>README/脚本可一键执行；失败会阻止发布。</t>
  </si>
  <si>
    <t>04验收§11</t>
  </si>
  <si>
    <t>DEV-008</t>
  </si>
  <si>
    <t>环境分层</t>
  </si>
  <si>
    <t>建立 local/test/staging/production 配置</t>
  </si>
  <si>
    <t>四套环境数据、密钥、AI预算隔离；测试使用固定 mock。</t>
  </si>
  <si>
    <t>staging 与 production 不共用数据库、密钥和预算。</t>
  </si>
  <si>
    <t>05部署§1</t>
  </si>
  <si>
    <t>DEV-009</t>
  </si>
  <si>
    <t>登录与账号</t>
  </si>
  <si>
    <t>创建 Supabase 项目</t>
  </si>
  <si>
    <t>启用 PostgreSQL 与 Auth，选择与目标用户接近的区域，记录项目URL和密钥。</t>
  </si>
  <si>
    <t>开发环境可连接；anon key 仅前端使用，service role 仅服务端使用。</t>
  </si>
  <si>
    <t>用户新增要求；08数据库§4-5</t>
  </si>
  <si>
    <t>DEV-010</t>
  </si>
  <si>
    <t>数据模型</t>
  </si>
  <si>
    <t>建立 profiles 与用户关联</t>
  </si>
  <si>
    <t>新增 profiles/user_id；StoryRun.userId 与登录用户关联。</t>
  </si>
  <si>
    <t>用户只能读取自己的 StoryRun；数据库存在索引和外键策略。</t>
  </si>
  <si>
    <t>01基线§4.1；08数据库§6</t>
  </si>
  <si>
    <t>Supabase项目</t>
  </si>
  <si>
    <t>DEV-011</t>
  </si>
  <si>
    <t>登录页</t>
  </si>
  <si>
    <t>实现英文登录/注册页面</t>
  </si>
  <si>
    <t>支持邮箱验证码或 Magic Link；提供错误、发送中、已发送状态。</t>
  </si>
  <si>
    <t>新用户可完成登录，错误邮箱和频率限制有明确提示。</t>
  </si>
  <si>
    <t>用户新增要求</t>
  </si>
  <si>
    <t>DEV-012</t>
  </si>
  <si>
    <t>会话</t>
  </si>
  <si>
    <t>实现会话持久化与自动刷新</t>
  </si>
  <si>
    <t>页面刷新、关闭重开后恢复登录；token 过期自动刷新。</t>
  </si>
  <si>
    <t>刷新后不丢失登录；失效会话跳转登录并保留返回地址。</t>
  </si>
  <si>
    <t>DEV-013</t>
  </si>
  <si>
    <t>路由保护</t>
  </si>
  <si>
    <t>保护创建局、我的游戏与支付页面</t>
  </si>
  <si>
    <t>未登录用户访问受保护路由时跳转登录；公开首页和法律页面不受影响。</t>
  </si>
  <si>
    <t>受保护 API 同时验证用户身份，不能只依赖前端。</t>
  </si>
  <si>
    <t>用户新增要求；08数据库§16</t>
  </si>
  <si>
    <t>DEV-014</t>
  </si>
  <si>
    <t>退出</t>
  </si>
  <si>
    <t>实现退出登录</t>
  </si>
  <si>
    <t>清理本地会话和非权威草稿，返回首页。</t>
  </si>
  <si>
    <t>退出后无法继续调用用户私有 API；再次登录可恢复历史局。</t>
  </si>
  <si>
    <t>否</t>
  </si>
  <si>
    <t>DEV-015</t>
  </si>
  <si>
    <t>我的游戏</t>
  </si>
  <si>
    <t>实现最近故事局列表</t>
  </si>
  <si>
    <t>展示进行中、已完成、创建时间、当前天数和继续按钮。</t>
  </si>
  <si>
    <t>登录用户可继续自己的局；无法看到其他用户局。</t>
  </si>
  <si>
    <t>用户新增要求；08数据库§6</t>
  </si>
  <si>
    <t>profiles与StoryRun</t>
  </si>
  <si>
    <t>DEV-016</t>
  </si>
  <si>
    <t>账户页</t>
  </si>
  <si>
    <t>实现基础账户与客服入口</t>
  </si>
  <si>
    <t>显示邮箱、Credits/权益、退出、删除账户申请、客服邮箱。</t>
  </si>
  <si>
    <t>用户能看到购买权益和联系支持；敏感字段不暴露。</t>
  </si>
  <si>
    <t>Creem审核要求；隐私合规</t>
  </si>
  <si>
    <t>登录会话/支付权益</t>
  </si>
  <si>
    <t>DEV-017</t>
  </si>
  <si>
    <t>数据删除</t>
  </si>
  <si>
    <t>实现账户数据删除/申请流程</t>
  </si>
  <si>
    <t>提供删除请求入口，按隐私政策删除或匿名化用户数据。</t>
  </si>
  <si>
    <t>删除流程可追踪；支付与安全日志按合法保留规则处理。</t>
  </si>
  <si>
    <t>Privacy Policy；05部署§9-10</t>
  </si>
  <si>
    <t>DEV-018</t>
  </si>
  <si>
    <t>滥用防护</t>
  </si>
  <si>
    <t>登录频率限制与机器人防护</t>
  </si>
  <si>
    <t>对验证码发送、登录尝试、创建局等入口限流。</t>
  </si>
  <si>
    <t>异常频率返回429，不泄露账号是否存在。</t>
  </si>
  <si>
    <t>05部署§10</t>
  </si>
  <si>
    <t>DEV-019</t>
  </si>
  <si>
    <t>入口与房间</t>
  </si>
  <si>
    <t>首页</t>
  </si>
  <si>
    <t>英文首页部署与正式域名</t>
  </si>
  <si>
    <t>保持已上线首页可访问，首屏说明产品、玩法、价格和Beta状态。</t>
  </si>
  <si>
    <t>正式域名HTTPS稳定；所有CTA无死链。</t>
  </si>
  <si>
    <t>现有进度表；Creem审核</t>
  </si>
  <si>
    <t>DEV-020</t>
  </si>
  <si>
    <t>故事大厅</t>
  </si>
  <si>
    <t>实现故事局大厅</t>
  </si>
  <si>
    <t>调用 GET /api/v4/stories，展示《桑田诏》卡片、7天、历史权谋和可玩状态。</t>
  </si>
  <si>
    <t>首页/大厅能进入故事详情或角色选择，加载失败有重试。</t>
  </si>
  <si>
    <t>01基线§3；02状态机§9.1</t>
  </si>
  <si>
    <t>stories API</t>
  </si>
  <si>
    <t>DEV-021</t>
  </si>
  <si>
    <t>故事详情</t>
  </si>
  <si>
    <t>实现故事详情与规则说明</t>
  </si>
  <si>
    <t>展示钩子、时长、角色、单人Beta说明、开始按钮。</t>
  </si>
  <si>
    <t>用户在30秒内理解目标、7天制和AI决策机制。</t>
  </si>
  <si>
    <t>07 PRD§4-5；09玩法§1-4</t>
  </si>
  <si>
    <t>DEV-022</t>
  </si>
  <si>
    <t>角色选择</t>
  </si>
  <si>
    <t>实现角色选择页</t>
  </si>
  <si>
    <t>GET roles；MVP 仅浙江总督可选，其他角色显示AI控制。</t>
  </si>
  <si>
    <t>只能以 zhejiang_governor 正式创建StoryRun。</t>
  </si>
  <si>
    <t>01基线§2；02状态机§9.3-9.4</t>
  </si>
  <si>
    <t>stories/roles API</t>
  </si>
  <si>
    <t>DEV-023</t>
  </si>
  <si>
    <t>开启房间</t>
  </si>
  <si>
    <t>点击开始调用 POST /api/v4/story-runs，使用幂等键，成功后进入 /game?runId=...。</t>
  </si>
  <si>
    <t>创建一次只产生一个StoryRun；初始day=1、version=1、awaiting_decision。</t>
  </si>
  <si>
    <t>02状态机§9.4；用户新增要求</t>
  </si>
  <si>
    <t>登录/角色选择/数据库</t>
  </si>
  <si>
    <t>DEV-024</t>
  </si>
  <si>
    <t>进入房间</t>
  </si>
  <si>
    <t>输入 runId 或继续上次故事局</t>
  </si>
  <si>
    <t>提供“继续游戏/输入房间ID”入口，GET run 后进入唯一游戏页。</t>
  </si>
  <si>
    <t>合法runId恢复原状态；无效runId明确提示，不静默创建新局。</t>
  </si>
  <si>
    <t>02状态机§7、9.5；用户新增要求</t>
  </si>
  <si>
    <t>GET StoryRun</t>
  </si>
  <si>
    <t>DEV-025</t>
  </si>
  <si>
    <t>房间恢复</t>
  </si>
  <si>
    <t>刷新与跨设备恢复</t>
  </si>
  <si>
    <t>浏览器只保存runId和草稿；权威状态从服务端恢复。</t>
  </si>
  <si>
    <t>awaiting_decision/resolving/day_advance/finalization/finished 均恢复正确。</t>
  </si>
  <si>
    <t>01基线§4；02状态机§7</t>
  </si>
  <si>
    <t>进入房间/状态机</t>
  </si>
  <si>
    <t>DEV-026</t>
  </si>
  <si>
    <t>继续/重开</t>
  </si>
  <si>
    <t>完成局后重开新局</t>
  </si>
  <si>
    <t>结局页提供Replay，创建新runId，旧局保持只读。</t>
  </si>
  <si>
    <t>重开不覆盖旧局；用户可在我的游戏查看两局。</t>
  </si>
  <si>
    <t>04验收F-012；02状态机§2</t>
  </si>
  <si>
    <t>最终裁决</t>
  </si>
  <si>
    <t>DEV-027</t>
  </si>
  <si>
    <t>多人边界</t>
  </si>
  <si>
    <t>明确真人加入房间不进入当前MVP</t>
  </si>
  <si>
    <t>UI文案避免让用户误以为当前支持多人实时；保留未来入口但禁用。</t>
  </si>
  <si>
    <t>正式Beta不出现无法使用的“邀请真人加入”按钮。</t>
  </si>
  <si>
    <t>01基线§2；07 PRD§10</t>
  </si>
  <si>
    <t>我+Codex</t>
  </si>
  <si>
    <t>DEV-028</t>
  </si>
  <si>
    <t>数据库与运行态</t>
  </si>
  <si>
    <t>迁移</t>
  </si>
  <si>
    <t>建立 StoryRun 表</t>
  </si>
  <si>
    <t>保存userId、templateKey、mode、status、day、selectedRoleKey、stateJson、version、时间字段。</t>
  </si>
  <si>
    <t>迁移可重复执行；关键字段和索引符合文档。</t>
  </si>
  <si>
    <t>08数据库§6</t>
  </si>
  <si>
    <t>DEV-029</t>
  </si>
  <si>
    <t>建立 StoryEvent 表</t>
  </si>
  <si>
    <t>追加式保存故事、prompt、decision、result、change、maneuver、critical、day_end、final等。</t>
  </si>
  <si>
    <t>事件按run/day/time可查询；事件不可被普通业务覆盖修改。</t>
  </si>
  <si>
    <t>08数据库§7</t>
  </si>
  <si>
    <t>StoryRun表</t>
  </si>
  <si>
    <t>DEV-030</t>
  </si>
  <si>
    <t>AI账本</t>
  </si>
  <si>
    <t>建立 AiTask 表</t>
  </si>
  <si>
    <t>真实模型接入时记录任务状态、输入摘要、输出、校验错误、重试、token、成本、耗时。</t>
  </si>
  <si>
    <t>每次主要AI调用可追踪；普通日志不保存敏感全文。</t>
  </si>
  <si>
    <t>08数据库§9；05部署§7</t>
  </si>
  <si>
    <t>StoryRun/StoryEvent</t>
  </si>
  <si>
    <t>DEV-031</t>
  </si>
  <si>
    <t>初始化</t>
  </si>
  <si>
    <t>StoryRun 初始状态生成</t>
  </si>
  <si>
    <t>从剧本配置生成世界变量、角色变量、关系、谋划次数、activePrompt和开场事件。</t>
  </si>
  <si>
    <t>创建事务完成后直接进入awaiting_decision；失败不留下半成品run。</t>
  </si>
  <si>
    <t>02状态机§2.1；08数据库§12.1</t>
  </si>
  <si>
    <t>配置校验/数据库</t>
  </si>
  <si>
    <t>DEV-032</t>
  </si>
  <si>
    <t>公共投影</t>
  </si>
  <si>
    <t>StoryEvent → NarrativeEntry 公共投影</t>
  </si>
  <si>
    <t>过滤hidden事件，将story/result/day_end投影为story，将可见patch投影为change_summary。</t>
  </si>
  <si>
    <t>公共响应不含internalGain/internalRisk/statePatch预测/privateReasoning。</t>
  </si>
  <si>
    <t>08数据库§8；02状态机§8-9.6</t>
  </si>
  <si>
    <t>StoryEvent表/共享类型</t>
  </si>
  <si>
    <t>DEV-033</t>
  </si>
  <si>
    <t>乐观锁</t>
  </si>
  <si>
    <t>实现 version 并发控制</t>
  </si>
  <si>
    <t>每次权威写入校验version并+1；旧版本返回VERSION_CONFLICT。</t>
  </si>
  <si>
    <t>双标签页并发时只有一个请求成功，状态无覆盖。</t>
  </si>
  <si>
    <t>02状态机§5.1</t>
  </si>
  <si>
    <t>DEV-034</t>
  </si>
  <si>
    <t>幂等</t>
  </si>
  <si>
    <t>实现 Idempotency-Key 账本</t>
  </si>
  <si>
    <t>runId+endpoint+key唯一；相同请求返回同一结果，不同请求体复用key被拒绝。</t>
  </si>
  <si>
    <t>重复点击/网络重试不会重复扣次数、重复写事件或重复支付权益。</t>
  </si>
  <si>
    <t>02状态机§5.2</t>
  </si>
  <si>
    <t>数据库事务</t>
  </si>
  <si>
    <t>DEV-035</t>
  </si>
  <si>
    <t>事务</t>
  </si>
  <si>
    <t>决策与谋划原子事务</t>
  </si>
  <si>
    <t>状态更新、事件追加、计数、筹码和version必须全成或全败。</t>
  </si>
  <si>
    <t>注入任一步骤失败后状态与事件均不出现半落账。</t>
  </si>
  <si>
    <t>08数据库§15</t>
  </si>
  <si>
    <t>乐观锁/幂等</t>
  </si>
  <si>
    <t>DEV-036</t>
  </si>
  <si>
    <t>权限</t>
  </si>
  <si>
    <t>用户级数据隔离</t>
  </si>
  <si>
    <t>API按userId校验StoryRun所有权；service role仅服务端。</t>
  </si>
  <si>
    <t>修改runId不能读取或修改他人的游戏数据。</t>
  </si>
  <si>
    <t>Supabase RLS；05部署§10</t>
  </si>
  <si>
    <t>登录/StoryRun</t>
  </si>
  <si>
    <t>DEV-037</t>
  </si>
  <si>
    <t>备份恢复</t>
  </si>
  <si>
    <t>数据库备份与恢复策略</t>
  </si>
  <si>
    <t>staging/prod独立；配置每日备份，MVP恢复目标RPO≤15分钟、RTO≤2小时。</t>
  </si>
  <si>
    <t>至少完成一次从备份恢复到测试项目的演练并记录结果。</t>
  </si>
  <si>
    <t>05部署§12-13</t>
  </si>
  <si>
    <t>生产数据库</t>
  </si>
  <si>
    <t>DEV-038</t>
  </si>
  <si>
    <t>后端API</t>
  </si>
  <si>
    <t>剧本列表</t>
  </si>
  <si>
    <t>GET /api/v4/stories</t>
  </si>
  <si>
    <t>按统一响应和错误码实现控制器、DTO、Service与权限校验。</t>
  </si>
  <si>
    <t>返回可玩剧本列表，MVP至少含sangtian。</t>
  </si>
  <si>
    <t>02状态机§9.1</t>
  </si>
  <si>
    <t>数据库/状态机</t>
  </si>
  <si>
    <t>DEV-039</t>
  </si>
  <si>
    <t>剧本详情</t>
  </si>
  <si>
    <t>GET /api/v4/stories/:templateKey</t>
  </si>
  <si>
    <t>返回公开剧本信息，不返回隐藏角色目标和后台规则。</t>
  </si>
  <si>
    <t>02状态机§9.2</t>
  </si>
  <si>
    <t>DEV-040</t>
  </si>
  <si>
    <t>角色列表</t>
  </si>
  <si>
    <t>GET /api/v4/stories/:templateKey/roles</t>
  </si>
  <si>
    <t>返回角色和playable状态。</t>
  </si>
  <si>
    <t>02状态机§9.3</t>
  </si>
  <si>
    <t>DEV-041</t>
  </si>
  <si>
    <t>创建局</t>
  </si>
  <si>
    <t>POST /api/v4/story-runs</t>
  </si>
  <si>
    <t>创建开场和activePrompt，返回完整公共视图。</t>
  </si>
  <si>
    <t>02状态机§9.4</t>
  </si>
  <si>
    <t>DEV-042</t>
  </si>
  <si>
    <t>获取局</t>
  </si>
  <si>
    <t>GET /api/v4/story-runs/:runId</t>
  </si>
  <si>
    <t>恢复run、timeline、activePrompt、criticalEvent、maneuverPanel。</t>
  </si>
  <si>
    <t>02状态机§9.5</t>
  </si>
  <si>
    <t>DEV-043</t>
  </si>
  <si>
    <t>叙事增量</t>
  </si>
  <si>
    <t>GET /api/v4/story-runs/:runId/messages</t>
  </si>
  <si>
    <t>支持after/limit，按时间返回NarrativeEntry。</t>
  </si>
  <si>
    <t>02状态机§9.6</t>
  </si>
  <si>
    <t>DEV-044</t>
  </si>
  <si>
    <t>Dashboard</t>
  </si>
  <si>
    <t>GET /api/v4/story-runs/:runId/dashboard</t>
  </si>
  <si>
    <t>返回玩家可见世界、角色、关系、风险、线索和谋划面板。</t>
  </si>
  <si>
    <t>02状态机§9.7</t>
  </si>
  <si>
    <t>DEV-045</t>
  </si>
  <si>
    <t>提交决策</t>
  </si>
  <si>
    <t>POST .../messages/:eventId/decisions</t>
  </si>
  <si>
    <t>支持main_decision/critical_response，1-200字，ActionGuard与幂等。</t>
  </si>
  <si>
    <t>02状态机§9.8</t>
  </si>
  <si>
    <t>DEV-046</t>
  </si>
  <si>
    <t>延后事件</t>
  </si>
  <si>
    <t>POST .../messages/:eventId/defer</t>
  </si>
  <si>
    <t>追加deferred事件，刷新可恢复，不完成决策。</t>
  </si>
  <si>
    <t>02状态机§9.9</t>
  </si>
  <si>
    <t>DEV-047</t>
  </si>
  <si>
    <t>提交谋划</t>
  </si>
  <si>
    <t>POST .../maneuvers</t>
  </si>
  <si>
    <t>支持contact/investigate/leverage/custom，成功扣1次。</t>
  </si>
  <si>
    <t>02状态机§9.10</t>
  </si>
  <si>
    <t>DEV-048</t>
  </si>
  <si>
    <t>推进天数</t>
  </si>
  <si>
    <t>POST .../advance-day</t>
  </si>
  <si>
    <t>当天2次决策完成后推进，谋划不阻塞、不结转。</t>
  </si>
  <si>
    <t>02状态机§9.11</t>
  </si>
  <si>
    <t>DEV-049</t>
  </si>
  <si>
    <t>POST .../finalize</t>
  </si>
  <si>
    <t>仅day7且12次决策完成可执行，幂等返回同一结局。</t>
  </si>
  <si>
    <t>02状态机§9.12</t>
  </si>
  <si>
    <t>DEV-050</t>
  </si>
  <si>
    <t>健康检查</t>
  </si>
  <si>
    <t>实现 /health 和依赖检查</t>
  </si>
  <si>
    <t>检查API进程、数据库连接和必要配置，不泄露密钥。</t>
  </si>
  <si>
    <t>部署平台可用health check判断服务是否健康。</t>
  </si>
  <si>
    <t>05部署§14</t>
  </si>
  <si>
    <t>后端部署</t>
  </si>
  <si>
    <t>DEV-051</t>
  </si>
  <si>
    <t>错误契约</t>
  </si>
  <si>
    <t>统一HTTP状态码与错误码</t>
  </si>
  <si>
    <t>实现400/404/409/422/429/502/503等契约，前端按code显示可恢复提示。</t>
  </si>
  <si>
    <t>自动化测试覆盖关键错误码，无裸堆栈返回前端。</t>
  </si>
  <si>
    <t>02状态机§10</t>
  </si>
  <si>
    <t>API接口</t>
  </si>
  <si>
    <t>DEV-052</t>
  </si>
  <si>
    <t>主游戏UI</t>
  </si>
  <si>
    <t>唯一游戏路由</t>
  </si>
  <si>
    <t>/game?runId=&lt;runId&gt;</t>
  </si>
  <si>
    <t>按现有古典三栏设计接入真实公共投影和状态机，保持顶部/左右栏稳定。</t>
  </si>
  <si>
    <t>8种状态全部在单一路由内渲染。</t>
  </si>
  <si>
    <t>01基线§5；11 UI§2</t>
  </si>
  <si>
    <t>GET run/API公共投影</t>
  </si>
  <si>
    <t>DEV-053</t>
  </si>
  <si>
    <t>固定顶部</t>
  </si>
  <si>
    <t>TopGameBar</t>
  </si>
  <si>
    <t>地点、日期、裁决倒计时、决策/谋划次数和世界状态固定。</t>
  </si>
  <si>
    <t>11 UI§3.1</t>
  </si>
  <si>
    <t>DEV-054</t>
  </si>
  <si>
    <t>左侧身份栏</t>
  </si>
  <si>
    <t>LeftPlayerPanel</t>
  </si>
  <si>
    <t>身份、命运问题、目标、资源、筹码和风险固定。</t>
  </si>
  <si>
    <t>11 UI§3.2</t>
  </si>
  <si>
    <t>DEV-055</t>
  </si>
  <si>
    <t>右侧谋划栏</t>
  </si>
  <si>
    <t>RightManeuverPanel</t>
  </si>
  <si>
    <t>谋划次数、人物、推进目标、筹码、自拟谋划、进入下一天。</t>
  </si>
  <si>
    <t>11 UI§3.3</t>
  </si>
  <si>
    <t>DEV-056</t>
  </si>
  <si>
    <t>持续叙事时间线</t>
  </si>
  <si>
    <t>NarrativeTimeline</t>
  </si>
  <si>
    <t>故事、决策、推演、结果、变化按时间连续追加，不分页。</t>
  </si>
  <si>
    <t>07 PRD§6；11 UI§4</t>
  </si>
  <si>
    <t>DEV-057</t>
  </si>
  <si>
    <t>UI01 开场</t>
  </si>
  <si>
    <t>StoryBlock</t>
  </si>
  <si>
    <t>日期、地点、章节与故事正文，无流程按钮。</t>
  </si>
  <si>
    <t>11 UI§6</t>
  </si>
  <si>
    <t>DEV-058</t>
  </si>
  <si>
    <t>UI02 主线决策</t>
  </si>
  <si>
    <t>DecisionComposer</t>
  </si>
  <si>
    <t>A/B/C标题、统一输入框和提交决策。</t>
  </si>
  <si>
    <t>11 UI§7</t>
  </si>
  <si>
    <t>DEV-059</t>
  </si>
  <si>
    <t>UI03 推演中</t>
  </si>
  <si>
    <t>SimulationBlock</t>
  </si>
  <si>
    <t>只显示玩家决定和“AI 正在推演局势……”。</t>
  </si>
  <si>
    <t>11 UI§8</t>
  </si>
  <si>
    <t>DEV-060</t>
  </si>
  <si>
    <t>UI04 结果与变化</t>
  </si>
  <si>
    <t>Result + ChangeSummary</t>
  </si>
  <si>
    <t>先结果故事，再本次变化，必要时继续出现下一prompt。</t>
  </si>
  <si>
    <t>11 UI§9</t>
  </si>
  <si>
    <t>DEV-061</t>
  </si>
  <si>
    <t>UI05 局势记录</t>
  </si>
  <si>
    <t>SituationRecord</t>
  </si>
  <si>
    <t>中间覆盖、筛选记录、关闭恢复scrollTop。</t>
  </si>
  <si>
    <t>11 UI§10</t>
  </si>
  <si>
    <t>DEV-062</t>
  </si>
  <si>
    <t>UI06 关键事件</t>
  </si>
  <si>
    <t>CriticalEventModal</t>
  </si>
  <si>
    <t>页面压暗，仅立即处理/稍后处理。</t>
  </si>
  <si>
    <t>11 UI§11</t>
  </si>
  <si>
    <t>DEV-063</t>
  </si>
  <si>
    <t>UI07 他人影响回应</t>
  </si>
  <si>
    <t>CriticalResponse</t>
  </si>
  <si>
    <t>角色视角故事+A/B/C回应+自定义输入。</t>
  </si>
  <si>
    <t>11 UI§12</t>
  </si>
  <si>
    <t>DEV-064</t>
  </si>
  <si>
    <t>UI08 主动谋划</t>
  </si>
  <si>
    <t>ActivePlanBlock</t>
  </si>
  <si>
    <t>目标、目的、建议、自拟谋划和提交。</t>
  </si>
  <si>
    <t>11 UI§13</t>
  </si>
  <si>
    <t>DEV-065</t>
  </si>
  <si>
    <t>滚动行为</t>
  </si>
  <si>
    <t>自动滚动与新内容提示</t>
  </si>
  <si>
    <t>底部附近自动滚动；向上阅读时不强跳，显示轻量提示。</t>
  </si>
  <si>
    <t>11 UI§17</t>
  </si>
  <si>
    <t>DEV-066</t>
  </si>
  <si>
    <t>响应式</t>
  </si>
  <si>
    <t>桌面适配</t>
  </si>
  <si>
    <t>1366×768和1440×900核心输入与按钮不遮挡；移动端至少可阅读和完成核心流程。</t>
  </si>
  <si>
    <t>04验收W-031；上线需求</t>
  </si>
  <si>
    <t>DEV-067</t>
  </si>
  <si>
    <t>安全渲染</t>
  </si>
  <si>
    <t>HTML转义</t>
  </si>
  <si>
    <t>用户输入和AI文本按纯文本渲染，不执行脚本。</t>
  </si>
  <si>
    <t>04验收W-030；05部署§10</t>
  </si>
  <si>
    <t>DEV-068</t>
  </si>
  <si>
    <t>禁词与字段</t>
  </si>
  <si>
    <t>前端扫描</t>
  </si>
  <si>
    <t>页面不出现AP/行动力/行动点/筹谋，不渲染内部收益风险。</t>
  </si>
  <si>
    <t>04验收W-032/W-033</t>
  </si>
  <si>
    <t>DEV-069</t>
  </si>
  <si>
    <t>主线决策</t>
  </si>
  <si>
    <t>选项公共投影</t>
  </si>
  <si>
    <t>A/B/C仅返回optionKey+title</t>
  </si>
  <si>
    <t>实现DecisionService、ActionGuard、规则补丁、事件落账和公共投影。</t>
  </si>
  <si>
    <t>后端过滤内部description/gain/risk/statePatch。</t>
  </si>
  <si>
    <t>03 Schema§6.3；02状态机§8</t>
  </si>
  <si>
    <t>API/数据库/剧本配置</t>
  </si>
  <si>
    <t>DEV-070</t>
  </si>
  <si>
    <t>建议回填</t>
  </si>
  <si>
    <t>点击建议写入统一输入框</t>
  </si>
  <si>
    <t>玩家可以继续补充或完全改写。</t>
  </si>
  <si>
    <t>07 PRD§7.2</t>
  </si>
  <si>
    <t>DEV-071</t>
  </si>
  <si>
    <t>输入限制</t>
  </si>
  <si>
    <t>决策与回应1-200字</t>
  </si>
  <si>
    <t>前后端双重校验，空文本和超长文本返回明确错误。</t>
  </si>
  <si>
    <t>DEV-072</t>
  </si>
  <si>
    <t>提交锁定</t>
  </si>
  <si>
    <t>防重复提交</t>
  </si>
  <si>
    <t>提交后禁用输入/建议/按钮并进入resolving。</t>
  </si>
  <si>
    <t>11 UI§18.1</t>
  </si>
  <si>
    <t>DEV-073</t>
  </si>
  <si>
    <t>ActionGuard硬规则</t>
  </si>
  <si>
    <t>越权/宣布结果/跳阶段/凭空证据拦截</t>
  </si>
  <si>
    <t>blocked/rewrite不消耗决策、不增加version、不写事件。</t>
  </si>
  <si>
    <t>04验收§4；07 PRD§7.4</t>
  </si>
  <si>
    <t>DEV-074</t>
  </si>
  <si>
    <t>自定义决策意图</t>
  </si>
  <si>
    <t>AI或规则规范化合法输入</t>
  </si>
  <si>
    <t>返回normalizedDecision和severity；系统规则优先。</t>
  </si>
  <si>
    <t>07 PRD§16.4</t>
  </si>
  <si>
    <t>DEV-075</t>
  </si>
  <si>
    <t>规则状态补丁</t>
  </si>
  <si>
    <t>应用并clamp 0-100</t>
  </si>
  <si>
    <t>AI只提出候选，规则引擎校验变量和范围后落账。</t>
  </si>
  <si>
    <t>01基线§7；03 Schema§6.6</t>
  </si>
  <si>
    <t>DEV-076</t>
  </si>
  <si>
    <t>结果故事</t>
  </si>
  <si>
    <t>生成resultStory</t>
  </si>
  <si>
    <t>每次成功决策至少产生完整故事正文。</t>
  </si>
  <si>
    <t>03 Schema§6.6；05部署§5</t>
  </si>
  <si>
    <t>DEV-077</t>
  </si>
  <si>
    <t>可见变化</t>
  </si>
  <si>
    <t>生成visibleChanges</t>
  </si>
  <si>
    <t>只展示当前角色可见的情报/数值/关系变化。</t>
  </si>
  <si>
    <t>07 PRD§16.3</t>
  </si>
  <si>
    <t>DEV-078</t>
  </si>
  <si>
    <t>角色反应</t>
  </si>
  <si>
    <t>生成必要role_reaction</t>
  </si>
  <si>
    <t>反应基于角色已知事实、欲望和误判，不泄露私密推理。</t>
  </si>
  <si>
    <t>01基线§7.2；09玩法§10</t>
  </si>
  <si>
    <t>DEV-079</t>
  </si>
  <si>
    <t>下一个prompt</t>
  </si>
  <si>
    <t>产生下一决策或日终</t>
  </si>
  <si>
    <t>同一时刻最多一个activePrompt，不产生死路。</t>
  </si>
  <si>
    <t>02状态机§2-3</t>
  </si>
  <si>
    <t>DEV-080</t>
  </si>
  <si>
    <t>因果来源</t>
  </si>
  <si>
    <t>originEventId与FateSeed</t>
  </si>
  <si>
    <t>所有延迟帮助/反噬和结局解释可回溯到真实事件。</t>
  </si>
  <si>
    <t>04验收§5</t>
  </si>
  <si>
    <t>DEV-081</t>
  </si>
  <si>
    <t>每日机会</t>
  </si>
  <si>
    <t>第1-6天每天2次，第7天0次</t>
  </si>
  <si>
    <t>实现ManeuverService、CriticalEvent队列、计数、Guard与事件投影。</t>
  </si>
  <si>
    <t>成功谋划扣1次，被拒不扣；未用不结转。</t>
  </si>
  <si>
    <t>01基线§8；02状态机§5.4</t>
  </si>
  <si>
    <t>决策系统/数据库/剧本配置</t>
  </si>
  <si>
    <t>DEV-082</t>
  </si>
  <si>
    <t>人物交谈</t>
  </si>
  <si>
    <t>contact</t>
  </si>
  <si>
    <t>支持目标角色和probe/request_intel/pressure/trade/custom意图。</t>
  </si>
  <si>
    <t>03 Schema§7</t>
  </si>
  <si>
    <t>DEV-083</t>
  </si>
  <si>
    <t>派遣调查</t>
  </si>
  <si>
    <t>investigate</t>
  </si>
  <si>
    <t>支持驿站、田契、粮仓、商会往来等配置化目标。</t>
  </si>
  <si>
    <t>03 Schema§7；10剧本§2.6</t>
  </si>
  <si>
    <t>DEV-084</t>
  </si>
  <si>
    <t>使用筹码</t>
  </si>
  <si>
    <t>leverage</t>
  </si>
  <si>
    <t>验证leverage所有权、目标、意图和singleUse状态。</t>
  </si>
  <si>
    <t>03 Schema§8</t>
  </si>
  <si>
    <t>DEV-085</t>
  </si>
  <si>
    <t>自拟谋划</t>
  </si>
  <si>
    <t>custom</t>
  </si>
  <si>
    <t>1-200字并经过ActionGuard。</t>
  </si>
  <si>
    <t>DEV-086</t>
  </si>
  <si>
    <t>谋划结果</t>
  </si>
  <si>
    <t>maneuver_result</t>
  </si>
  <si>
    <t>追加结果故事、可见变化、FateSeed/痕迹和必要角色反应。</t>
  </si>
  <si>
    <t>08数据库§8.6</t>
  </si>
  <si>
    <t>DEV-087</t>
  </si>
  <si>
    <t>状态许可</t>
  </si>
  <si>
    <t>仅awaiting_decision/day_advance可用</t>
  </si>
  <si>
    <t>resolving/day7/finished拒绝。</t>
  </si>
  <si>
    <t>02状态机§2-4</t>
  </si>
  <si>
    <t>DEV-088</t>
  </si>
  <si>
    <t>主线隔离</t>
  </si>
  <si>
    <t>谋划不能解决activePrompt</t>
  </si>
  <si>
    <t>不修改decisionsCompletedToday，不替代每天2次主线决策。</t>
  </si>
  <si>
    <t>01基线§8；04验收M-009</t>
  </si>
  <si>
    <t>DEV-089</t>
  </si>
  <si>
    <t>跨日重置</t>
  </si>
  <si>
    <t>advance-day重置机会</t>
  </si>
  <si>
    <t>上一日未用作废，新日used=0/remaining=2。</t>
  </si>
  <si>
    <t>DEV-090</t>
  </si>
  <si>
    <t>关键事件生成</t>
  </si>
  <si>
    <t>critical_event</t>
  </si>
  <si>
    <t>仅直接影响玩家且requiresResponse/high时弹窗。</t>
  </si>
  <si>
    <t>DEV-091</t>
  </si>
  <si>
    <t>稍后处理</t>
  </si>
  <si>
    <t>critical_event_deferred</t>
  </si>
  <si>
    <t>追加事件并恢复待处理标记，不完成决策。</t>
  </si>
  <si>
    <t>DEV-092</t>
  </si>
  <si>
    <t>立即处理</t>
  </si>
  <si>
    <t>critical_response提升为activePrompt</t>
  </si>
  <si>
    <t>占用当日固定主线槽位，不额外增加12次总数。</t>
  </si>
  <si>
    <t>01基线§8；02状态机§2</t>
  </si>
  <si>
    <t>DEV-093</t>
  </si>
  <si>
    <t>关键事件队列</t>
  </si>
  <si>
    <t>pendingCriticalEvents</t>
  </si>
  <si>
    <t>已有activePrompt时先排队，完成后再提升。</t>
  </si>
  <si>
    <t>02状态机§3</t>
  </si>
  <si>
    <t>DEV-094</t>
  </si>
  <si>
    <t>天数与结局</t>
  </si>
  <si>
    <t>固定节奏</t>
  </si>
  <si>
    <t>第1-6天每天2次主线</t>
  </si>
  <si>
    <t>实现DayProgression和FinalJudgement规则/AI文案。</t>
  </si>
  <si>
    <t>任何路径共12次，不动态增减。</t>
  </si>
  <si>
    <t>01基线§8</t>
  </si>
  <si>
    <t>决策/谋划/剧本结局配置</t>
  </si>
  <si>
    <t>DEV-095</t>
  </si>
  <si>
    <t>日终回响</t>
  </si>
  <si>
    <t>day_end</t>
  </si>
  <si>
    <t>当天第二次决策后生成日终故事、关键决定和明日风险。</t>
  </si>
  <si>
    <t>09玩法§13.5；05部署§3</t>
  </si>
  <si>
    <t>DEV-096</t>
  </si>
  <si>
    <t>进入下一天</t>
  </si>
  <si>
    <t>advance-day</t>
  </si>
  <si>
    <t>当日完成后可推进，剩余谋划不阻塞。</t>
  </si>
  <si>
    <t>DEV-097</t>
  </si>
  <si>
    <t>第7天状态</t>
  </si>
  <si>
    <t>awaiting_finalization</t>
  </si>
  <si>
    <t>activePrompt=null、决策0、谋划0、总决策12。</t>
  </si>
  <si>
    <t>02状态机§7.3</t>
  </si>
  <si>
    <t>DEV-098</t>
  </si>
  <si>
    <t>结局规则</t>
  </si>
  <si>
    <t>候选全局与个人结局</t>
  </si>
  <si>
    <t>规则先选候选，至少5类全局和5档个人可达。</t>
  </si>
  <si>
    <t>03 Schema§10-12</t>
  </si>
  <si>
    <t>DEV-099</t>
  </si>
  <si>
    <t>finalize</t>
  </si>
  <si>
    <t>生成全局结局、个人结局、关键救命/伤害步骤、命运债。</t>
  </si>
  <si>
    <t>02状态机§9.12；10剧本§6</t>
  </si>
  <si>
    <t>DEV-100</t>
  </si>
  <si>
    <t>重复裁决</t>
  </si>
  <si>
    <t>finalize幂等</t>
  </si>
  <si>
    <t>重复请求返回同一结局，不再写第二套事件。</t>
  </si>
  <si>
    <t>04验收A-009</t>
  </si>
  <si>
    <t>DEV-101</t>
  </si>
  <si>
    <t>重开与历史</t>
  </si>
  <si>
    <t>旧局只读，新局独立</t>
  </si>
  <si>
    <t>finished后普通写入拒绝，Replay创建新run。</t>
  </si>
  <si>
    <t>02状态机§2</t>
  </si>
  <si>
    <t>DEV-102</t>
  </si>
  <si>
    <t>AI推演</t>
  </si>
  <si>
    <t>Provider</t>
  </si>
  <si>
    <t>接入真实LLM与mock/rules</t>
  </si>
  <si>
    <t>实现AI Director/Judge接口、Schema、重试、fallback、预算与日志。</t>
  </si>
  <si>
    <t>支持AI_CAUSAL_PROVIDER切换，测试默认mock。</t>
  </si>
  <si>
    <t>05部署§2</t>
  </si>
  <si>
    <t>规则引擎/AiTask/剧本Schema</t>
  </si>
  <si>
    <t>DEV-103</t>
  </si>
  <si>
    <t>上下文构建</t>
  </si>
  <si>
    <t>buildContext</t>
  </si>
  <si>
    <t>仅传当前prompt、状态快照、最近事件摘要、重要历史和触发卡片。</t>
  </si>
  <si>
    <t>07 PRD§17；08数据库§13</t>
  </si>
  <si>
    <t>DEV-104</t>
  </si>
  <si>
    <t>结构化输出</t>
  </si>
  <si>
    <t>JSON Schema</t>
  </si>
  <si>
    <t>decision/maneuver/day_end/final输出均校验resultStory/visibleChanges等。</t>
  </si>
  <si>
    <t>07 PRD§16；05部署§5</t>
  </si>
  <si>
    <t>DEV-105</t>
  </si>
  <si>
    <t>规范化</t>
  </si>
  <si>
    <t>normalize</t>
  </si>
  <si>
    <t>模型输出先解析、归一化、Schema校验、业务校验，再允许应用。</t>
  </si>
  <si>
    <t>05部署§5</t>
  </si>
  <si>
    <t>DEV-106</t>
  </si>
  <si>
    <t>超时</t>
  </si>
  <si>
    <t>25秒可配置</t>
  </si>
  <si>
    <t>超时后重试1次；不可无限重试。</t>
  </si>
  <si>
    <t>05部署§4</t>
  </si>
  <si>
    <t>DEV-107</t>
  </si>
  <si>
    <t>Fallback</t>
  </si>
  <si>
    <t>双失败规则模板</t>
  </si>
  <si>
    <t>fallback仍能完整落账和继续游戏，对普通用户静默。</t>
  </si>
  <si>
    <t>05部署§6</t>
  </si>
  <si>
    <t>DEV-108</t>
  </si>
  <si>
    <t>预算</t>
  </si>
  <si>
    <t>单局调用/token/成本硬限制</t>
  </si>
  <si>
    <t>最多55次、260k token或配置成本上限，超限降级。</t>
  </si>
  <si>
    <t>05部署§3</t>
  </si>
  <si>
    <t>DEV-109</t>
  </si>
  <si>
    <t>日志</t>
  </si>
  <si>
    <t>AiTask调用账本</t>
  </si>
  <si>
    <t>记录taskType、attempt、provider、token、成本、耗时、fallback和错误。</t>
  </si>
  <si>
    <t>05部署§7</t>
  </si>
  <si>
    <t>DEV-110</t>
  </si>
  <si>
    <t>提示注入</t>
  </si>
  <si>
    <t>系统与用户文本分层</t>
  </si>
  <si>
    <t>用户文本只作为不可信行动意图，不能改变规则和Schema。</t>
  </si>
  <si>
    <t>05部署§10.2</t>
  </si>
  <si>
    <t>DEV-111</t>
  </si>
  <si>
    <t>隐私脱敏</t>
  </si>
  <si>
    <t>Prompt和日志脱敏</t>
  </si>
  <si>
    <t>普通日志不保存完整自定义决策和私密推理。</t>
  </si>
  <si>
    <t>05部署§7-8</t>
  </si>
  <si>
    <t>DEV-112</t>
  </si>
  <si>
    <t>日终摘要</t>
  </si>
  <si>
    <t>generateDayEnd</t>
  </si>
  <si>
    <t>优先模板/低成本模型，结果可用于后续上下文。</t>
  </si>
  <si>
    <t>05部署§3.4</t>
  </si>
  <si>
    <t>DEV-113</t>
  </si>
  <si>
    <t>最终文案</t>
  </si>
  <si>
    <t>generateFinalJudgement</t>
  </si>
  <si>
    <t>仅在规则候选内生成，不自行改变结局。</t>
  </si>
  <si>
    <t>01基线§7.2</t>
  </si>
  <si>
    <t>DEV-114</t>
  </si>
  <si>
    <t>支付与权益</t>
  </si>
  <si>
    <t>商品与权益</t>
  </si>
  <si>
    <t>定义Founder Pass/Credits权益</t>
  </si>
  <si>
    <t>实现Creem服务端客户端、Webhook、支付事件和用户权益。</t>
  </si>
  <si>
    <t>价格、次数、有效期和实际可交付内容一致。</t>
  </si>
  <si>
    <t>Creem审核；现有7天任务</t>
  </si>
  <si>
    <t>登录/数据库/公网后端</t>
  </si>
  <si>
    <t>DEV-115</t>
  </si>
  <si>
    <t>Test Mode</t>
  </si>
  <si>
    <t>创建测试产品和Checkout</t>
  </si>
  <si>
    <t>服务端使用CREEM_API_KEY创建真实测试Checkout。</t>
  </si>
  <si>
    <t>Creem Test Mode</t>
  </si>
  <si>
    <t>DEV-116</t>
  </si>
  <si>
    <t>支付入口</t>
  </si>
  <si>
    <t>前端购买页/按钮</t>
  </si>
  <si>
    <t>登录用户发起购买；成功/取消页面明确。</t>
  </si>
  <si>
    <t>DEV-117</t>
  </si>
  <si>
    <t>Webhook</t>
  </si>
  <si>
    <t>接收checkout.completed/refund/dispute</t>
  </si>
  <si>
    <t>公网HTTPS完整路径，校验签名和原始请求体。</t>
  </si>
  <si>
    <t>现有API调试文档</t>
  </si>
  <si>
    <t>DEV-118</t>
  </si>
  <si>
    <t>支付幂等</t>
  </si>
  <si>
    <t>payment_events唯一</t>
  </si>
  <si>
    <t>重复Webhook不重复增加Credits/权益。</t>
  </si>
  <si>
    <t>并发与幂等原则</t>
  </si>
  <si>
    <t>DEV-119</t>
  </si>
  <si>
    <t>权益发放</t>
  </si>
  <si>
    <t>entitlements/credits</t>
  </si>
  <si>
    <t>支付成功后绑定userId并在账户页显示。</t>
  </si>
  <si>
    <t>Creem闭环</t>
  </si>
  <si>
    <t>DEV-120</t>
  </si>
  <si>
    <t>退款撤销</t>
  </si>
  <si>
    <t>refund/dispute处理</t>
  </si>
  <si>
    <t>按政策回收未使用权益或标记人工处理。</t>
  </si>
  <si>
    <t>DEV-121</t>
  </si>
  <si>
    <t>Live切换</t>
  </si>
  <si>
    <t>Test与Live配置隔离</t>
  </si>
  <si>
    <t>Live通过后重新配置产品ID/API Key/Webhook Secret。</t>
  </si>
  <si>
    <t>Creem环境隔离</t>
  </si>
  <si>
    <t>DEV-122</t>
  </si>
  <si>
    <t>安全与可观测性</t>
  </si>
  <si>
    <t>产品埋点</t>
  </si>
  <si>
    <t>核心漏斗事件</t>
  </si>
  <si>
    <t>完成埋点、日志、监控、安全头、限流和密钥治理。</t>
  </si>
  <si>
    <t>记录lobby、role、run、decision、simulation、change、maneuver、day、ending、replay。</t>
  </si>
  <si>
    <t>06试玩§5</t>
  </si>
  <si>
    <t>核心API/部署</t>
  </si>
  <si>
    <t>DEV-123</t>
  </si>
  <si>
    <t>隐私埋点</t>
  </si>
  <si>
    <t>不上传完整自定义文本</t>
  </si>
  <si>
    <t>只上传字数、分类、是否编辑和hash。</t>
  </si>
  <si>
    <t>DEV-124</t>
  </si>
  <si>
    <t>结构化日志</t>
  </si>
  <si>
    <t>requestId/runId/eventId/version/fallback</t>
  </si>
  <si>
    <t>日志能定位单局失败，敏感字段脱敏。</t>
  </si>
  <si>
    <t>05部署§8</t>
  </si>
  <si>
    <t>DEV-125</t>
  </si>
  <si>
    <t>错误监控</t>
  </si>
  <si>
    <t>Sentry或同类</t>
  </si>
  <si>
    <t>捕获前后端异常和部署版本。</t>
  </si>
  <si>
    <t>05部署§11</t>
  </si>
  <si>
    <t>DEV-126</t>
  </si>
  <si>
    <t>核心指标</t>
  </si>
  <si>
    <t>API/AI/成本/恢复</t>
  </si>
  <si>
    <t>监控5xx、延迟、AI超时、fallback、冲突、恢复、单局成本。</t>
  </si>
  <si>
    <t>DEV-127</t>
  </si>
  <si>
    <t>告警</t>
  </si>
  <si>
    <t>配置高优先级告警</t>
  </si>
  <si>
    <t>私密字段泄露、存储失败、finalize失败和成本超限立即告警。</t>
  </si>
  <si>
    <t>05部署§11.2</t>
  </si>
  <si>
    <t>DEV-128</t>
  </si>
  <si>
    <t>CORS/CSP</t>
  </si>
  <si>
    <t>限制来源与脚本</t>
  </si>
  <si>
    <t>生产仅允许正式域名；CSP减少XSS风险。</t>
  </si>
  <si>
    <t>DEV-129</t>
  </si>
  <si>
    <t>请求限流</t>
  </si>
  <si>
    <t>API与AI限流</t>
  </si>
  <si>
    <t>按用户/IP限制创建局、提交和模型调用。</t>
  </si>
  <si>
    <t>DEV-130</t>
  </si>
  <si>
    <t>密钥管理</t>
  </si>
  <si>
    <t>密钥不入库</t>
  </si>
  <si>
    <t>Vercel/Railway/Supabase环境变量保存，日志与前端不显示。</t>
  </si>
  <si>
    <t>DEV-131</t>
  </si>
  <si>
    <t>健康与状态</t>
  </si>
  <si>
    <t>状态页/客服信息</t>
  </si>
  <si>
    <t>上线时用户能获知服务异常和联系支持。</t>
  </si>
  <si>
    <t>上线运营要求</t>
  </si>
  <si>
    <t>DEV-132</t>
  </si>
  <si>
    <t>部署与发布</t>
  </si>
  <si>
    <t>前端构建</t>
  </si>
  <si>
    <t>Vercel部署apps/web</t>
  </si>
  <si>
    <t>按部署方案配置服务、环境变量、数据迁移、监控、回滚和上线冒烟。</t>
  </si>
  <si>
    <t>生产构建通过，域名、HTTPS、环境变量和缓存正确。</t>
  </si>
  <si>
    <t>部署方案</t>
  </si>
  <si>
    <t>P0功能完成</t>
  </si>
  <si>
    <t>DEV-133</t>
  </si>
  <si>
    <t>后端构建</t>
  </si>
  <si>
    <t>部署NestJS API</t>
  </si>
  <si>
    <t>推荐Railway/Render运行现有apps/api；配置health check和自动重启。</t>
  </si>
  <si>
    <t>DEV-134</t>
  </si>
  <si>
    <t>数据库</t>
  </si>
  <si>
    <t>Supabase生产数据库</t>
  </si>
  <si>
    <t>执行迁移、RLS、连接池、备份和生产密钥。</t>
  </si>
  <si>
    <t>08数据库；05部署§12</t>
  </si>
  <si>
    <t>DEV-135</t>
  </si>
  <si>
    <t>域名路由</t>
  </si>
  <si>
    <t>配置Web/API域名与CORS</t>
  </si>
  <si>
    <t>ourmanyworlds.com指向Web；api子域或反向代理指向API。</t>
  </si>
  <si>
    <t>DEV-136</t>
  </si>
  <si>
    <t>Staging</t>
  </si>
  <si>
    <t>建立独立staging</t>
  </si>
  <si>
    <t>独立URL、数据库、Creem Test、AI预算；供20局验收。</t>
  </si>
  <si>
    <t>DEV-137</t>
  </si>
  <si>
    <t>Production</t>
  </si>
  <si>
    <t>建立production</t>
  </si>
  <si>
    <t>正式域名、生产数据库、Live密钥、日志和告警。</t>
  </si>
  <si>
    <t>DEV-138</t>
  </si>
  <si>
    <t>迁移与回滚</t>
  </si>
  <si>
    <t>验证迁移/回滚脚本</t>
  </si>
  <si>
    <t>数据库变更失败可回滚；上一版本可重新部署。</t>
  </si>
  <si>
    <t>DEV-139</t>
  </si>
  <si>
    <t>备份演练</t>
  </si>
  <si>
    <t>执行一次恢复</t>
  </si>
  <si>
    <t>验证StoryRun/StoryEvent/AiTask可恢复。</t>
  </si>
  <si>
    <t>DEV-140</t>
  </si>
  <si>
    <t>Smoke Test</t>
  </si>
  <si>
    <t>上线后冒烟</t>
  </si>
  <si>
    <t>首页→登录→创建局→1次决策→恢复→支付Test/Live检查。</t>
  </si>
  <si>
    <t>发布检查</t>
  </si>
  <si>
    <t>DEV-141</t>
  </si>
  <si>
    <t>发布闸门</t>
  </si>
  <si>
    <t>P0开发/测试/部署全部达标</t>
  </si>
  <si>
    <t>无高严重度泄露，20局无死路，fallback和恢复通过。</t>
  </si>
  <si>
    <t>04验收§12</t>
  </si>
  <si>
    <t>AI多人剧情推演｜MVP测试进度</t>
  </si>
  <si>
    <t>已将自动化验收矩阵完整拆入本表，并补充登录、创建/进入房间、Supabase权限、Creem支付和部署冒烟测试。P0测试未全部通过前，不建议公开Limited Beta。</t>
  </si>
  <si>
    <t>测试ID</t>
  </si>
  <si>
    <t>测试层级</t>
  </si>
  <si>
    <t>场景/输入</t>
  </si>
  <si>
    <t>前置条件</t>
  </si>
  <si>
    <t>操作/步骤</t>
  </si>
  <si>
    <t>预期/断言</t>
  </si>
  <si>
    <t>自动化</t>
  </si>
  <si>
    <t>建议工具</t>
  </si>
  <si>
    <t>计划阶段</t>
  </si>
  <si>
    <t>计划日期</t>
  </si>
  <si>
    <t>实际日期</t>
  </si>
  <si>
    <t>缺陷ID</t>
  </si>
  <si>
    <t>证据/备注</t>
  </si>
  <si>
    <t>F-001</t>
  </si>
  <si>
    <t>Service/HTTP</t>
  </si>
  <si>
    <t>功能测试</t>
  </si>
  <si>
    <t>创建新局</t>
  </si>
  <si>
    <t>无</t>
  </si>
  <si>
    <t>POST create</t>
  </si>
  <si>
    <t>201；第 1 天；`awaiting_decision`；version=1</t>
  </si>
  <si>
    <t>未执行</t>
  </si>
  <si>
    <t>自动</t>
  </si>
  <si>
    <t>Vitest/Nest/fetch</t>
  </si>
  <si>
    <t>F-002</t>
  </si>
  <si>
    <t>恢复新局</t>
  </si>
  <si>
    <t>已有 runId</t>
  </si>
  <si>
    <t>GET run</t>
  </si>
  <si>
    <t>返回相同状态与 activePrompt</t>
  </si>
  <si>
    <t>F-003</t>
  </si>
  <si>
    <t>第一次预设决策</t>
  </si>
  <si>
    <t>awaiting_decision</t>
  </si>
  <si>
    <t>选 A</t>
  </si>
  <si>
    <t>写入 1 次 decision；version+1；生成结果消息</t>
  </si>
  <si>
    <t>F-004</t>
  </si>
  <si>
    <t>第二次决策</t>
  </si>
  <si>
    <t>当日已完成 1 次</t>
  </si>
  <si>
    <t>再选</t>
  </si>
  <si>
    <t>当日完成 2 次；生成 day_end；进入 awaiting_day_advance</t>
  </si>
  <si>
    <t>F-005</t>
  </si>
  <si>
    <t>未完成当天推进</t>
  </si>
  <si>
    <t>只完成 1 次</t>
  </si>
  <si>
    <t>409 DAY_NOT_COMPLETE</t>
  </si>
  <si>
    <t>F-006</t>
  </si>
  <si>
    <t>正常推进</t>
  </si>
  <si>
    <t>awaiting_day_advance</t>
  </si>
  <si>
    <t>下一天；decision 计数清零；新 activePrompt</t>
  </si>
  <si>
    <t>F-007</t>
  </si>
  <si>
    <t>12 次决策闭环</t>
  </si>
  <si>
    <t>第 1 天</t>
  </si>
  <si>
    <t>连续完成 6 天</t>
  </si>
  <si>
    <t>共 12 次；无丢失、无重复</t>
  </si>
  <si>
    <t>F-008</t>
  </si>
  <si>
    <t>第 7 天状态</t>
  </si>
  <si>
    <t>第 6 天完成并推进</t>
  </si>
  <si>
    <t>currentDay=7；awaiting_finalization；activePrompt=null</t>
  </si>
  <si>
    <t>F-009</t>
  </si>
  <si>
    <t>提前 finalize</t>
  </si>
  <si>
    <t>第 1—6 天</t>
  </si>
  <si>
    <t>409 FINALIZATION_NOT_READY</t>
  </si>
  <si>
    <t>F-010</t>
  </si>
  <si>
    <t>正常 finalize</t>
  </si>
  <si>
    <t>第 7 天 ready</t>
  </si>
  <si>
    <t>finished；完整 finalJudgement</t>
  </si>
  <si>
    <t>F-011</t>
  </si>
  <si>
    <t>finished 后再决策</t>
  </si>
  <si>
    <t>finished</t>
  </si>
  <si>
    <t>submit decision</t>
  </si>
  <si>
    <t>409 INVALID_RUN_STATE</t>
  </si>
  <si>
    <t>F-012</t>
  </si>
  <si>
    <t>重开一局</t>
  </si>
  <si>
    <t>任意旧局</t>
  </si>
  <si>
    <t>create 新 run</t>
  </si>
  <si>
    <t>新 runId；旧局不被覆盖</t>
  </si>
  <si>
    <t>F-013</t>
  </si>
  <si>
    <t>404 恢复</t>
  </si>
  <si>
    <t>localStorage 有不存在 runId</t>
  </si>
  <si>
    <t>GET</t>
  </si>
  <si>
    <t>明确失败，不静默新建</t>
  </si>
  <si>
    <t>F-014</t>
  </si>
  <si>
    <t>页面刷新</t>
  </si>
  <si>
    <t>每种状态</t>
  </si>
  <si>
    <t>重载页面</t>
  </si>
  <si>
    <t>正确恢复对应 UI</t>
  </si>
  <si>
    <t>F-015</t>
  </si>
  <si>
    <t>浏览器仅保存 runId</t>
  </si>
  <si>
    <t>任意</t>
  </si>
  <si>
    <t>检查 localStorage</t>
  </si>
  <si>
    <t>不包含 worldState / causalLedger</t>
  </si>
  <si>
    <t>F-016</t>
  </si>
  <si>
    <t>初始谋划机会</t>
  </si>
  <si>
    <t>新建第 1 天 run</t>
  </si>
  <si>
    <t>`maneuverOpportunitiesPerDay=2`、`remaining=2`</t>
  </si>
  <si>
    <t>F-017</t>
  </si>
  <si>
    <t>提交一次人物交谈谋划</t>
  </si>
  <si>
    <t>POST maneuver</t>
  </si>
  <si>
    <t>201；写入 maneuver/result；remaining=1；version+1</t>
  </si>
  <si>
    <t>F-018</t>
  </si>
  <si>
    <t>提交第二次谋划</t>
  </si>
  <si>
    <t>当日已用 1 次</t>
  </si>
  <si>
    <t>201；remaining=0；主线决策计数不变</t>
  </si>
  <si>
    <t>F-019</t>
  </si>
  <si>
    <t>第三次谋划</t>
  </si>
  <si>
    <t>remaining=0</t>
  </si>
  <si>
    <t>409 MANEUVER_LIMIT_REACHED</t>
  </si>
  <si>
    <t>F-020</t>
  </si>
  <si>
    <t>不使用谋划推进</t>
  </si>
  <si>
    <t>两次主线决策已完成、remaining=2</t>
  </si>
  <si>
    <t>成功；未用机会作废</t>
  </si>
  <si>
    <t>F-021</t>
  </si>
  <si>
    <t>正常 advance-day</t>
  </si>
  <si>
    <t>新一天 used=0、remaining=2</t>
  </si>
  <si>
    <t>F-022</t>
  </si>
  <si>
    <t>第 7 天谋划</t>
  </si>
  <si>
    <t>409 INVALID_RUN_STATE / MANEUVER_NOT_AVAILABLE</t>
  </si>
  <si>
    <t>F-023</t>
  </si>
  <si>
    <t>谋划不替代主线决策</t>
  </si>
  <si>
    <t>当日仅完成 2 次谋划</t>
  </si>
  <si>
    <t>F-024</t>
  </si>
  <si>
    <t>谋划结果入消息流</t>
  </si>
  <si>
    <t>合法谋划</t>
  </si>
  <si>
    <t>GET messages</t>
  </si>
  <si>
    <t>出现 `maneuver_result` 玩家可见消息</t>
  </si>
  <si>
    <t>F-025</t>
  </si>
  <si>
    <t>leverage 可用</t>
  </si>
  <si>
    <t>POST leverage maneuver</t>
  </si>
  <si>
    <t>写入 `leverage_used`；筹码状态按规则变化</t>
  </si>
  <si>
    <t>G-001</t>
  </si>
  <si>
    <t>Unit/Service</t>
  </si>
  <si>
    <t>ActionGuard</t>
  </si>
  <si>
    <t>“不拦急奏，另写密奏”</t>
  </si>
  <si>
    <t>`ok`</t>
  </si>
  <si>
    <t>Vitest</t>
  </si>
  <si>
    <t>G-002</t>
  </si>
  <si>
    <t>“派幕僚查驿站登记”</t>
  </si>
  <si>
    <t>`ok` 或 `soft_warn`</t>
  </si>
  <si>
    <t>G-003</t>
  </si>
  <si>
    <t>“命令皇帝立即处死巡抚”</t>
  </si>
  <si>
    <t>`blocked`：越权且操控他人</t>
  </si>
  <si>
    <t>G-004</t>
  </si>
  <si>
    <t>“我宣布巡抚已经认罪”</t>
  </si>
  <si>
    <t>`blocked`：直接宣布结果</t>
  </si>
  <si>
    <t>G-005</t>
  </si>
  <si>
    <t>“凭空拿出完整暗账”</t>
  </si>
  <si>
    <t>`rewrite_needed`：不存在的证据</t>
  </si>
  <si>
    <t>G-006</t>
  </si>
  <si>
    <t>“跳到第 7 天直接裁决”</t>
  </si>
  <si>
    <t>`blocked`：跳过阶段</t>
  </si>
  <si>
    <t>G-007</t>
  </si>
  <si>
    <t>“调一百万兵围困京师”</t>
  </si>
  <si>
    <t>`blocked`：资源与时代权限不符</t>
  </si>
  <si>
    <t>G-008</t>
  </si>
  <si>
    <t>空 customText</t>
  </si>
  <si>
    <t>`400 CUSTOM_TEXT_REQUIRED`</t>
  </si>
  <si>
    <t>G-009</t>
  </si>
  <si>
    <t>主线决策超过 200 字</t>
  </si>
  <si>
    <t>`400 CUSTOM_TEXT_TOO_LONG` 或前端拒绝</t>
  </si>
  <si>
    <t>G-010</t>
  </si>
  <si>
    <t>合法但高风险交易</t>
  </si>
  <si>
    <t>`soft_warn`，允许继续且提示风险</t>
  </si>
  <si>
    <t>G-011</t>
  </si>
  <si>
    <t>尝试控制县令具体结论</t>
  </si>
  <si>
    <t>规范化为“要求/试图”，不保证结果</t>
  </si>
  <si>
    <t>G-012</t>
  </si>
  <si>
    <t>重复提交被拒行动</t>
  </si>
  <si>
    <t>不消耗决策、不增加 version</t>
  </si>
  <si>
    <t>G-013</t>
  </si>
  <si>
    <t>“派幕僚暗查驿站登记”作为自拟谋划</t>
  </si>
  <si>
    <t>`ok`；成功后消耗 1 次谋划机会</t>
  </si>
  <si>
    <t>G-014</t>
  </si>
  <si>
    <t>“命令巡抚立即认罪”作为自拟谋划</t>
  </si>
  <si>
    <t>`blocked`；不消耗谋划机会</t>
  </si>
  <si>
    <t>G-015</t>
  </si>
  <si>
    <t>使用不存在的筹码</t>
  </si>
  <si>
    <t>`blocked` 或 409 LEVERAGE_NOT_AVAILABLE</t>
  </si>
  <si>
    <t>G-016</t>
  </si>
  <si>
    <t>尝试通过谋划直接跳过当前主线事件</t>
  </si>
  <si>
    <t>`blocked`</t>
  </si>
  <si>
    <t>G-017</t>
  </si>
  <si>
    <t>超过 200 字的自拟谋划</t>
  </si>
  <si>
    <t>400 或在提交前拒绝</t>
  </si>
  <si>
    <t>G-018</t>
  </si>
  <si>
    <t>被拒谋划重复提交</t>
  </si>
  <si>
    <t>不消耗机会、不增加 version、不产生 FateSeed</t>
  </si>
  <si>
    <t>C-001</t>
  </si>
  <si>
    <t>Service</t>
  </si>
  <si>
    <t>因果与状态</t>
  </si>
  <si>
    <t>每次合法决策</t>
  </si>
  <si>
    <t>后台生成可追溯因果记录；前台生成结果故事</t>
  </si>
  <si>
    <t>Vitest/路径模拟</t>
  </si>
  <si>
    <t>C-002</t>
  </si>
  <si>
    <t>存在玩家可见变化</t>
  </si>
  <si>
    <t>自动生成 `change_summary`，只含玩家可见字段</t>
  </si>
  <si>
    <t>C-003</t>
  </si>
  <si>
    <t>创建 FateSeed</t>
  </si>
  <si>
    <t>存在 originEventId、originDay、family、status</t>
  </si>
  <si>
    <t>C-004</t>
  </si>
  <si>
    <t>help 触发</t>
  </si>
  <si>
    <t>状态满足条件后 `activated_help`，生成回溯事件</t>
  </si>
  <si>
    <t>C-005</t>
  </si>
  <si>
    <t>backfire 触发</t>
  </si>
  <si>
    <t>状态满足条件后 `activated_backfire`，生成回溯事件</t>
  </si>
  <si>
    <t>C-006</t>
  </si>
  <si>
    <t>同一个 Seed 两面性</t>
  </si>
  <si>
    <t>至少一个模板同时具备 help 与 backfire 条件</t>
  </si>
  <si>
    <t>C-007</t>
  </si>
  <si>
    <t>origin 回溯</t>
  </si>
  <si>
    <t>每条 causalRecall 引用有效 originEventIds</t>
  </si>
  <si>
    <t>C-008</t>
  </si>
  <si>
    <t>证据流</t>
  </si>
  <si>
    <t>EvidenceItem 有 holderRoles / knownByRoles / originEventId</t>
  </si>
  <si>
    <t>C-009</t>
  </si>
  <si>
    <t>责任流</t>
  </si>
  <si>
    <t>ResponsibilityNode 有 issue 与至少两个候选责任角色</t>
  </si>
  <si>
    <t>C-010</t>
  </si>
  <si>
    <t>多方定性</t>
  </si>
  <si>
    <t>同一事件至少存在 3 个角色 frame</t>
  </si>
  <si>
    <t>C-011</t>
  </si>
  <si>
    <t>后台包含 privateReasoningSummary 与 sourceEventIds，公共投影不得出现</t>
  </si>
  <si>
    <t>C-012</t>
  </si>
  <si>
    <t>包含关键决策、状态变化、活动 Seed 与明日风险</t>
  </si>
  <si>
    <t>C-013</t>
  </si>
  <si>
    <t>最终结局</t>
  </si>
  <si>
    <t>saved/hurt 步骤均引用真实 originEventId</t>
  </si>
  <si>
    <t>C-014</t>
  </si>
  <si>
    <t>无来源反噬</t>
  </si>
  <si>
    <t>无 origin 的 AI 输出必须被 Schema 拒绝</t>
  </si>
  <si>
    <t>C-015</t>
  </si>
  <si>
    <t>AI patch 不可解释</t>
  </si>
  <si>
    <t>statePatch 无对应因果来源时必须 fallback/拒绝</t>
  </si>
  <si>
    <t>C-016</t>
  </si>
  <si>
    <t>谋划创建 FateSeed</t>
  </si>
  <si>
    <t>运行态 Seed 引用 maneuver originEventId</t>
  </si>
  <si>
    <t>C-017</t>
  </si>
  <si>
    <t>谋划延迟帮助</t>
  </si>
  <si>
    <t>后续触发时回溯到原谋划事件</t>
  </si>
  <si>
    <t>C-018</t>
  </si>
  <si>
    <t>谋划延迟反噬</t>
  </si>
  <si>
    <t>后续角色重新定性并引用原谋划事件</t>
  </si>
  <si>
    <t>C-019</t>
  </si>
  <si>
    <t>谋划更新任务</t>
  </si>
  <si>
    <t>`pursuit_updated` 有前后进度和来源事件</t>
  </si>
  <si>
    <t>C-020</t>
  </si>
  <si>
    <t>谋划使用筹码</t>
  </si>
  <si>
    <t>`leverage_used` 引用有效 leverageKey 和 originEventId</t>
  </si>
  <si>
    <t>C-021</t>
  </si>
  <si>
    <t>前台变化投影</t>
  </si>
  <si>
    <t>不包含内部收益、风险、概率、隐藏状态或完整因果链</t>
  </si>
  <si>
    <t>C-022</t>
  </si>
  <si>
    <t>局势记录</t>
  </si>
  <si>
    <t>可从同一事件流重建我的决策、他人影响、世界变化和数值变化</t>
  </si>
  <si>
    <t>I-001</t>
  </si>
  <si>
    <t>Security</t>
  </si>
  <si>
    <t>信息隔离</t>
  </si>
  <si>
    <t>不得出现：`hiddenMeaning`</t>
  </si>
  <si>
    <t>I-002</t>
  </si>
  <si>
    <t>不得出现：`privateReasoningSummary`</t>
  </si>
  <si>
    <t>I-003</t>
  </si>
  <si>
    <t>不得出现：`hiddenIntent`</t>
  </si>
  <si>
    <t>I-004</t>
  </si>
  <si>
    <t>不得出现：完整 help/backfire trigger 条件</t>
  </si>
  <si>
    <t>I-005</t>
  </si>
  <si>
    <t>消息列表</t>
  </si>
  <si>
    <t>不得出现：`visibility=hidden` 事件</t>
  </si>
  <si>
    <t>I-006</t>
  </si>
  <si>
    <t>角色行动</t>
  </si>
  <si>
    <t>不得出现：未公开的其他角色证据内容</t>
  </si>
  <si>
    <t>I-007</t>
  </si>
  <si>
    <t>不得出现：角色引用其不可知事件时测试失败</t>
  </si>
  <si>
    <t>I-008</t>
  </si>
  <si>
    <t>debug query 参数</t>
  </si>
  <si>
    <t>不得出现：URL 参数不得开启私密调试输出</t>
  </si>
  <si>
    <t>I-009</t>
  </si>
  <si>
    <t>HTML 源码</t>
  </si>
  <si>
    <t>不得出现：不嵌入服务器私密账本</t>
  </si>
  <si>
    <t>I-010</t>
  </si>
  <si>
    <t>错误响应</t>
  </si>
  <si>
    <t>不得出现：不返回完整模型 prompt、密钥、后台状态</t>
  </si>
  <si>
    <t>B-001</t>
  </si>
  <si>
    <t>Simulation</t>
  </si>
  <si>
    <t>分支差异</t>
  </si>
  <si>
    <t>全 A</t>
  </si>
  <si>
    <t>生成状态签名 A 和结局 A</t>
  </si>
  <si>
    <t>路径模拟</t>
  </si>
  <si>
    <t>B-002</t>
  </si>
  <si>
    <t>全 B</t>
  </si>
  <si>
    <t>生成状态签名 B 和结局 B</t>
  </si>
  <si>
    <t>B-003</t>
  </si>
  <si>
    <t>全 C</t>
  </si>
  <si>
    <t>生成状态签名 C 和结局 C</t>
  </si>
  <si>
    <t>B-004</t>
  </si>
  <si>
    <t>A/B/C 对比</t>
  </si>
  <si>
    <t>至少两个全局结局标题不同</t>
  </si>
  <si>
    <t>B-005</t>
  </si>
  <si>
    <t>最终 worldState 或 roleState 不完全相同</t>
  </si>
  <si>
    <t>B-006</t>
  </si>
  <si>
    <t>关键救命/伤害步骤不同</t>
  </si>
  <si>
    <t>M-001</t>
  </si>
  <si>
    <t>主动谋划路径</t>
  </si>
  <si>
    <t>全程不使用谋划</t>
  </si>
  <si>
    <t>仍可完成 12 次主线决策并到达结局</t>
  </si>
  <si>
    <t>M-002</t>
  </si>
  <si>
    <t>每天使用 1 次人物交谈</t>
  </si>
  <si>
    <t>关系轨迹与无谋划路径不同</t>
  </si>
  <si>
    <t>M-003</t>
  </si>
  <si>
    <t>每天使用 1 次调查</t>
  </si>
  <si>
    <t>线索、证据或 FateSeed 轨迹不同</t>
  </si>
  <si>
    <t>M-004</t>
  </si>
  <si>
    <t>每天使用 1 次筹码</t>
  </si>
  <si>
    <t>筹码状态、责任或叙事定性不同</t>
  </si>
  <si>
    <t>M-005</t>
  </si>
  <si>
    <t>每天使用满 2 次</t>
  </si>
  <si>
    <t>单局最多 12 次，无法超限</t>
  </si>
  <si>
    <t>M-006</t>
  </si>
  <si>
    <t>谋划后提交当前主线决策</t>
  </si>
  <si>
    <t>使用最新 version 后成功</t>
  </si>
  <si>
    <t>M-007</t>
  </si>
  <si>
    <t>谋划与主线决策并发</t>
  </si>
  <si>
    <t>只有一个写请求成功，另一个 VERSION_CONFLICT/RUN_BUSY</t>
  </si>
  <si>
    <t>M-008</t>
  </si>
  <si>
    <t>未使用谋划进入下一天</t>
  </si>
  <si>
    <t>不阻塞推进，不结转</t>
  </si>
  <si>
    <t>M-009</t>
  </si>
  <si>
    <t>谋划改变后续选项</t>
  </si>
  <si>
    <t>允许影响后续 prompt，不允许解决当前 prompt</t>
  </si>
  <si>
    <t>M-010</t>
  </si>
  <si>
    <t>谋划结果差异</t>
  </si>
  <si>
    <t>至少一类结局或关键因果因谋划路径发生变化</t>
  </si>
  <si>
    <t>A-001</t>
  </si>
  <si>
    <t>HTTP/Service</t>
  </si>
  <si>
    <t>API并发与幂等</t>
  </si>
  <si>
    <t>正确 version 写入</t>
  </si>
  <si>
    <t>成功，version+1</t>
  </si>
  <si>
    <t>HTTP并发测试</t>
  </si>
  <si>
    <t>A-002</t>
  </si>
  <si>
    <t>旧 version 写入</t>
  </si>
  <si>
    <t>409 VERSION_CONFLICT，不改变状态</t>
  </si>
  <si>
    <t>A-003</t>
  </si>
  <si>
    <t>同幂等键重复同请求</t>
  </si>
  <si>
    <t>返回同一结果，不重复事件</t>
  </si>
  <si>
    <t>A-004</t>
  </si>
  <si>
    <t>同幂等键不同请求体</t>
  </si>
  <si>
    <t>409 IDEMPOTENCY_KEY_REUSED</t>
  </si>
  <si>
    <t>A-005</t>
  </si>
  <si>
    <t>同一 prompt 并发两次提交</t>
  </si>
  <si>
    <t>只有一个成功</t>
  </si>
  <si>
    <t>A-006</t>
  </si>
  <si>
    <t>resolving 时再次提交</t>
  </si>
  <si>
    <t>RUN_BUSY 或返回已有任务</t>
  </si>
  <si>
    <t>A-007</t>
  </si>
  <si>
    <t>phase conflict</t>
  </si>
  <si>
    <t>不误报为 VERSION_CONFLICT</t>
  </si>
  <si>
    <t>A-008</t>
  </si>
  <si>
    <t>已完成 prompt 再选其他项</t>
  </si>
  <si>
    <t>DECISION_ALREADY_RESOLVED</t>
  </si>
  <si>
    <t>A-009</t>
  </si>
  <si>
    <t>finalize 重复请求</t>
  </si>
  <si>
    <t>幂等返回同一结局</t>
  </si>
  <si>
    <t>A-010</t>
  </si>
  <si>
    <t>advance-day 重复请求</t>
  </si>
  <si>
    <t>只推进一次</t>
  </si>
  <si>
    <t>A-011</t>
  </si>
  <si>
    <t>正确 version 提交谋划</t>
  </si>
  <si>
    <t>成功，version+1，remaining-1</t>
  </si>
  <si>
    <t>A-012</t>
  </si>
  <si>
    <t>旧 version 提交谋划</t>
  </si>
  <si>
    <t>409 VERSION_CONFLICT，不扣机会</t>
  </si>
  <si>
    <t>A-013</t>
  </si>
  <si>
    <t>同幂等键重复谋划</t>
  </si>
  <si>
    <t>返回同一结果，不重复扣减</t>
  </si>
  <si>
    <t>A-014</t>
  </si>
  <si>
    <t>同幂等键不同谋划内容</t>
  </si>
  <si>
    <t>A-015</t>
  </si>
  <si>
    <t>同时提交决策与谋划</t>
  </si>
  <si>
    <t>只允许一个状态写入成功</t>
  </si>
  <si>
    <t>A-016</t>
  </si>
  <si>
    <t>谋划上限后提交</t>
  </si>
  <si>
    <t>A-017</t>
  </si>
  <si>
    <t>已消耗筹码再次使用</t>
  </si>
  <si>
    <t>409 LEVERAGE_NOT_AVAILABLE</t>
  </si>
  <si>
    <t>A-018</t>
  </si>
  <si>
    <t>延后关键事件</t>
  </si>
  <si>
    <t>追加 `critical_event_deferred`，version+1，主线决策计数不变</t>
  </si>
  <si>
    <t>A-019</t>
  </si>
  <si>
    <t>同幂等键重复延后</t>
  </si>
  <si>
    <t>只追加一次 defer 事件</t>
  </si>
  <si>
    <t>A-020</t>
  </si>
  <si>
    <t>已解决关键事件再次延后</t>
  </si>
  <si>
    <t>409 CRITICAL_EVENT_ALREADY_RESOLVED</t>
  </si>
  <si>
    <t>A-021</t>
  </si>
  <si>
    <t>critical_response 提交</t>
  </si>
  <si>
    <t>成功后当日主线决策计数 +1</t>
  </si>
  <si>
    <t>A-022</t>
  </si>
  <si>
    <t>同时存在两个 activePrompt</t>
  </si>
  <si>
    <t>状态校验失败，测试必须阻止发布</t>
  </si>
  <si>
    <t>R-001</t>
  </si>
  <si>
    <t>Resilience</t>
  </si>
  <si>
    <t>AI失败与恢复</t>
  </si>
  <si>
    <t>AI 超时一次</t>
  </si>
  <si>
    <t>自动重试</t>
  </si>
  <si>
    <t>Mock Provider/恢复测试</t>
  </si>
  <si>
    <t>R-002</t>
  </si>
  <si>
    <t>AI 超时两次</t>
  </si>
  <si>
    <t>使用规则 fallback，正常落账</t>
  </si>
  <si>
    <t>R-003</t>
  </si>
  <si>
    <t>AI 返回非 JSON</t>
  </si>
  <si>
    <t>重试后 fallback</t>
  </si>
  <si>
    <t>R-004</t>
  </si>
  <si>
    <t>AI JSON 缺 resultStory 或 visibleChanges 结构</t>
  </si>
  <si>
    <t>Schema 拒绝并 fallback</t>
  </si>
  <si>
    <t>R-005</t>
  </si>
  <si>
    <t>AI 生成越界 patch</t>
  </si>
  <si>
    <t>规则裁剪或拒绝，不越界落账</t>
  </si>
  <si>
    <t>R-006</t>
  </si>
  <si>
    <t>AI 引用不存在 origin</t>
  </si>
  <si>
    <t>拒绝并 fallback</t>
  </si>
  <si>
    <t>R-007</t>
  </si>
  <si>
    <t>存储写入失败</t>
  </si>
  <si>
    <t>error_recoverable；重试不重复事件</t>
  </si>
  <si>
    <t>R-008</t>
  </si>
  <si>
    <t>服务重启</t>
  </si>
  <si>
    <t>已完成状态可恢复</t>
  </si>
  <si>
    <t>R-009</t>
  </si>
  <si>
    <t>在 resolving 中重启</t>
  </si>
  <si>
    <t>通过幂等账本恢复或 fallback</t>
  </si>
  <si>
    <t>R-010</t>
  </si>
  <si>
    <t>fallback 也失败</t>
  </si>
  <si>
    <t>明确 502/503，不伪造成功</t>
  </si>
  <si>
    <t>R-011</t>
  </si>
  <si>
    <t>谋划 AI 超时两次</t>
  </si>
  <si>
    <t>使用谋划规则 fallback，正常落账并扣 1 次</t>
  </si>
  <si>
    <t>R-012</t>
  </si>
  <si>
    <t>谋划 fallback 持久化失败</t>
  </si>
  <si>
    <t>error_recoverable；恢复后只落账一次</t>
  </si>
  <si>
    <t>R-013</t>
  </si>
  <si>
    <t>谋划输出引用不存在筹码</t>
  </si>
  <si>
    <t>Schema/业务校验拒绝并 fallback</t>
  </si>
  <si>
    <t>W-001</t>
  </si>
  <si>
    <t>Web/E2E</t>
  </si>
  <si>
    <t>Web/UI</t>
  </si>
  <si>
    <t>正式游戏路由</t>
  </si>
  <si>
    <t>只使用 `/game?runId=&lt;runId&gt;`，8 个状态不创建新路由</t>
  </si>
  <si>
    <t>Playwright/jsdom</t>
  </si>
  <si>
    <t>第5-6天</t>
  </si>
  <si>
    <t>W-002</t>
  </si>
  <si>
    <t>固定页面骨架</t>
  </si>
  <si>
    <t>顶部、左栏、右栏在所有状态中 DOM 结构与尺寸一致</t>
  </si>
  <si>
    <t>W-003</t>
  </si>
  <si>
    <t>角色专属开场</t>
  </si>
  <si>
    <t>中间只显示连续故事，无分页、无“继续阅读”</t>
  </si>
  <si>
    <t>W-004</t>
  </si>
  <si>
    <t>A/B/C 只显示编号与标题，不显示收益、风险、概率和数值预测</t>
  </si>
  <si>
    <t>W-005</t>
  </si>
  <si>
    <t>统一输入框</t>
  </si>
  <si>
    <t>输入框始终可见；不要求先点 CUSTOM</t>
  </si>
  <si>
    <t>W-006</t>
  </si>
  <si>
    <t>点击 B 后，B 的标题自动写入输入框</t>
  </si>
  <si>
    <t>W-007</t>
  </si>
  <si>
    <t>建议可编辑</t>
  </si>
  <si>
    <t>回填文本可继续补充或完全改写</t>
  </si>
  <si>
    <t>W-008</t>
  </si>
  <si>
    <t>长度限制</t>
  </si>
  <si>
    <t>主线决策、回应、主动谋划均最大 200 字</t>
  </si>
  <si>
    <t>W-009</t>
  </si>
  <si>
    <t>提交后输入框、建议和按钮禁用，防止重复</t>
  </si>
  <si>
    <t>W-010</t>
  </si>
  <si>
    <t>推演状态</t>
  </si>
  <si>
    <t>只显示玩家决定和“AI 正在推演局势……”</t>
  </si>
  <si>
    <t>W-011</t>
  </si>
  <si>
    <t>禁止技术信息</t>
  </si>
  <si>
    <t>不出现模型、Token、权重、概率、步骤或进度百分比</t>
  </si>
  <si>
    <t>W-012</t>
  </si>
  <si>
    <t>推演完成</t>
  </si>
  <si>
    <t>新故事自动追加，无“查看结果/下一步”</t>
  </si>
  <si>
    <t>W-013</t>
  </si>
  <si>
    <t>本次变化</t>
  </si>
  <si>
    <t>紧接结果故事自动展示，只含玩家可见变化</t>
  </si>
  <si>
    <t>W-014</t>
  </si>
  <si>
    <t>无流程按钮</t>
  </si>
  <si>
    <t>正常流程中不存在继续阅读、查看变化、返回局势、完成、下一步</t>
  </si>
  <si>
    <t>W-015</t>
  </si>
  <si>
    <t>连续滚动</t>
  </si>
  <si>
    <t>新内容按时间顺序追加；用户在底部时自动平滑滚动</t>
  </si>
  <si>
    <t>W-016</t>
  </si>
  <si>
    <t>阅读旧内容</t>
  </si>
  <si>
    <t>用户向上阅读时不强制跳底，只显示轻量新内容提示</t>
  </si>
  <si>
    <t>W-017</t>
  </si>
  <si>
    <t>局势记录默认状态</t>
  </si>
  <si>
    <t>默认关闭，不占据主页面</t>
  </si>
  <si>
    <t>W-018</t>
  </si>
  <si>
    <t>局势记录展开</t>
  </si>
  <si>
    <t>只覆盖中间区域，支持我的决策/他人影响/世界变化/数值变化</t>
  </si>
  <si>
    <t>W-019</t>
  </si>
  <si>
    <t>滚动恢复</t>
  </si>
  <si>
    <t>关闭局势记录后恢复原 narrativeScrollTop</t>
  </si>
  <si>
    <t>W-020</t>
  </si>
  <si>
    <t>关键事件弹窗</t>
  </si>
  <si>
    <t>页面压暗，显示重要事件、立即处理、稍后处理</t>
  </si>
  <si>
    <t>W-021</t>
  </si>
  <si>
    <t>关键事件频率</t>
  </si>
  <si>
    <t>普通世界变化不弹窗</t>
  </si>
  <si>
    <t>W-022</t>
  </si>
  <si>
    <t>关闭后显示待处理标记，刷新后仍存在</t>
  </si>
  <si>
    <t>W-023</t>
  </si>
  <si>
    <t>中间展示角色视角故事与回应决策</t>
  </si>
  <si>
    <t>W-024</t>
  </si>
  <si>
    <t>视角隔离</t>
  </si>
  <si>
    <t>不显示幕后角色真实选项、隐藏目标或隐藏数值</t>
  </si>
  <si>
    <t>W-025</t>
  </si>
  <si>
    <t>关键回应计数</t>
  </si>
  <si>
    <t>提交回应后当日主线决策计数 +1，不突破 12 次总数</t>
  </si>
  <si>
    <t>W-026</t>
  </si>
  <si>
    <t>右侧谋划入口</t>
  </si>
  <si>
    <t>点击人物/调查/筹码后，中间显示主动谋划模块</t>
  </si>
  <si>
    <t>W-027</t>
  </si>
  <si>
    <t>主动谋划选项</t>
  </si>
  <si>
    <t>建议只显示标题，自定义输入与提交位于中间</t>
  </si>
  <si>
    <t>W-028</t>
  </si>
  <si>
    <t>谋划提交中</t>
  </si>
  <si>
    <t>按钮禁用，结果故事与变化追加到中间时间线</t>
  </si>
  <si>
    <t>W-029</t>
  </si>
  <si>
    <t>两次主线决策完成即可解锁，未用谋划不阻塞</t>
  </si>
  <si>
    <t>W-030</t>
  </si>
  <si>
    <t>用户输入 HTML 转义，不执行脚本</t>
  </si>
  <si>
    <t>W-031</t>
  </si>
  <si>
    <t>1366×768 与 1440×900 不遮挡核心输入和提交按钮</t>
  </si>
  <si>
    <t>W-032</t>
  </si>
  <si>
    <t>禁词扫描</t>
  </si>
  <si>
    <t>页面不存在 AP、行动力、行动点、筹谋</t>
  </si>
  <si>
    <t>W-033</t>
  </si>
  <si>
    <t>公共字段扫描</t>
  </si>
  <si>
    <t>HTML/JSON 不包含 internalGain、internalRisk、statePatch 预测等字段</t>
  </si>
  <si>
    <t>AUTH-001</t>
  </si>
  <si>
    <t>HTTP/E2E</t>
  </si>
  <si>
    <t>新用户邮箱登录</t>
  </si>
  <si>
    <t>无账号</t>
  </si>
  <si>
    <t>输入邮箱并完成验证码/Magic Link</t>
  </si>
  <si>
    <t>成功创建用户与会话，跳回原目标页面</t>
  </si>
  <si>
    <t>半自动</t>
  </si>
  <si>
    <t>Playwright/Supabase</t>
  </si>
  <si>
    <t>AUTH-002</t>
  </si>
  <si>
    <t>已注册用户登录</t>
  </si>
  <si>
    <t>已有账号</t>
  </si>
  <si>
    <t>完成登录</t>
  </si>
  <si>
    <t>恢复同一userId和历史故事局</t>
  </si>
  <si>
    <t>AUTH-003</t>
  </si>
  <si>
    <t>刷新保持会话</t>
  </si>
  <si>
    <t>已登录</t>
  </si>
  <si>
    <t>刷新页面/重开浏览器</t>
  </si>
  <si>
    <t>登录状态仍有效或自动刷新token</t>
  </si>
  <si>
    <t>AUTH-004</t>
  </si>
  <si>
    <t>过期会话</t>
  </si>
  <si>
    <t>token过期</t>
  </si>
  <si>
    <t>访问受保护页面</t>
  </si>
  <si>
    <t>跳转登录，登录后返回原页面</t>
  </si>
  <si>
    <t>AUTH-005</t>
  </si>
  <si>
    <t>退出登录</t>
  </si>
  <si>
    <t>点击退出</t>
  </si>
  <si>
    <t>私有API不可访问，本地敏感会话被清除</t>
  </si>
  <si>
    <t>AUTH-006</t>
  </si>
  <si>
    <t>未登录创建局</t>
  </si>
  <si>
    <t>未登录</t>
  </si>
  <si>
    <t>401/跳转登录，不创建StoryRun</t>
  </si>
  <si>
    <t>AUTH-007</t>
  </si>
  <si>
    <t>越权读取他人run</t>
  </si>
  <si>
    <t>用户A/B各有run</t>
  </si>
  <si>
    <t>B请求A的runId</t>
  </si>
  <si>
    <t>404/403，不返回任何状态和事件</t>
  </si>
  <si>
    <t>AUTH-008</t>
  </si>
  <si>
    <t>我的游戏列表隔离</t>
  </si>
  <si>
    <t>多用户多局</t>
  </si>
  <si>
    <t>获取recent runs</t>
  </si>
  <si>
    <t>只返回当前用户的局</t>
  </si>
  <si>
    <t>AUTH-009</t>
  </si>
  <si>
    <t>登录频率限制</t>
  </si>
  <si>
    <t>连续发送验证码</t>
  </si>
  <si>
    <t>快速重复请求</t>
  </si>
  <si>
    <t>返回429且不泄露账号存在性</t>
  </si>
  <si>
    <t>AUTH-010</t>
  </si>
  <si>
    <t>账户删除申请</t>
  </si>
  <si>
    <t>有历史局/支付记录</t>
  </si>
  <si>
    <t>提交删除请求</t>
  </si>
  <si>
    <t>按策略删除或匿名化并保留必要审计</t>
  </si>
  <si>
    <t>ROOM-001</t>
  </si>
  <si>
    <t>E2E</t>
  </si>
  <si>
    <t>从角色页开启房间</t>
  </si>
  <si>
    <t>已登录且选浙江总督</t>
  </si>
  <si>
    <t>点击开始</t>
  </si>
  <si>
    <t>只创建一个StoryRun并跳转/game?runId</t>
  </si>
  <si>
    <t>Playwright/HTTP</t>
  </si>
  <si>
    <t>ROOM-002</t>
  </si>
  <si>
    <t>双击开启房间</t>
  </si>
  <si>
    <t>网络延迟</t>
  </si>
  <si>
    <t>连续点击开始</t>
  </si>
  <si>
    <t>幂等返回同一run，不创建重复局</t>
  </si>
  <si>
    <t>ROOM-003</t>
  </si>
  <si>
    <t>输入有效runId进入房间</t>
  </si>
  <si>
    <t>已有run</t>
  </si>
  <si>
    <t>输入ID/点击继续</t>
  </si>
  <si>
    <t>恢复当前天、timeline和activePrompt</t>
  </si>
  <si>
    <t>ROOM-004</t>
  </si>
  <si>
    <t>输入无效runId</t>
  </si>
  <si>
    <t>不存在runId</t>
  </si>
  <si>
    <t>明确RUN_NOT_FOUND，不静默新建</t>
  </si>
  <si>
    <t>ROOM-005</t>
  </si>
  <si>
    <t>访问他人runId</t>
  </si>
  <si>
    <t>已登录用户B</t>
  </si>
  <si>
    <t>修改URL runId</t>
  </si>
  <si>
    <t>拒绝访问且不泄露是否存在</t>
  </si>
  <si>
    <t>ROOM-006</t>
  </si>
  <si>
    <t>完成局后重开</t>
  </si>
  <si>
    <t>点击Replay</t>
  </si>
  <si>
    <t>新runId，旧局仍可查看</t>
  </si>
  <si>
    <t>ROOM-007</t>
  </si>
  <si>
    <t>房间刷新恢复草稿</t>
  </si>
  <si>
    <t>awaiting_decision且有未提交草稿</t>
  </si>
  <si>
    <t>刷新</t>
  </si>
  <si>
    <t>权威状态恢复，草稿按非权威策略恢复</t>
  </si>
  <si>
    <t>ROOM-008</t>
  </si>
  <si>
    <t>resolving刷新</t>
  </si>
  <si>
    <t>提交后正在推演</t>
  </si>
  <si>
    <t>显示推演中并轮询直至结果</t>
  </si>
  <si>
    <t>CFG-001</t>
  </si>
  <si>
    <t>Config lint</t>
  </si>
  <si>
    <t>剧本配置</t>
  </si>
  <si>
    <t>7天与12个主线决策</t>
  </si>
  <si>
    <t>加载配置</t>
  </si>
  <si>
    <t>运行lint</t>
  </si>
  <si>
    <t>days恰好1-7；前6天各2个主线；第7天0个</t>
  </si>
  <si>
    <t>AJV/自定义lint</t>
  </si>
  <si>
    <t>CFG-002</t>
  </si>
  <si>
    <t>角色引用有效</t>
  </si>
  <si>
    <t>加载roles/days/decisions</t>
  </si>
  <si>
    <t>所有roleKey存在且唯一</t>
  </si>
  <si>
    <t>CFG-003</t>
  </si>
  <si>
    <t>变量与Patch范围</t>
  </si>
  <si>
    <t>所有stat有效，patch在limits内，状态0-100</t>
  </si>
  <si>
    <t>CFG-004</t>
  </si>
  <si>
    <t>公共选项字段</t>
  </si>
  <si>
    <t>构建公共投影</t>
  </si>
  <si>
    <t>扫描JSON</t>
  </si>
  <si>
    <t>只含optionKey+title，无internal字段</t>
  </si>
  <si>
    <t>CFG-005</t>
  </si>
  <si>
    <t>结局可达性</t>
  </si>
  <si>
    <t>配置完成</t>
  </si>
  <si>
    <t>1000次随机模拟</t>
  </si>
  <si>
    <t>至少5类全局和5档个人可达，无死路</t>
  </si>
  <si>
    <t>CFG-006</t>
  </si>
  <si>
    <t>谋划引用</t>
  </si>
  <si>
    <t>加载maneuvers/leverage</t>
  </si>
  <si>
    <t>intent/target/leverage/origin有效，第7天不可用</t>
  </si>
  <si>
    <t>CFG-007</t>
  </si>
  <si>
    <t>输入上限</t>
  </si>
  <si>
    <t>加载决策/谋划配置</t>
  </si>
  <si>
    <t>所有maxLength=200</t>
  </si>
  <si>
    <t>CFG-008</t>
  </si>
  <si>
    <t>FateSeed来源</t>
  </si>
  <si>
    <t>加载种子模板</t>
  </si>
  <si>
    <t>每个运行态Seed可引用originEventId</t>
  </si>
  <si>
    <t>PAY-001</t>
  </si>
  <si>
    <t>创建Test Checkout</t>
  </si>
  <si>
    <t>用户已登录且有测试商品</t>
  </si>
  <si>
    <t>点击购买</t>
  </si>
  <si>
    <t>返回Creem测试Checkout URL</t>
  </si>
  <si>
    <t>Creem Test/HTTP</t>
  </si>
  <si>
    <t>PAY-002</t>
  </si>
  <si>
    <t>测试支付成功闭环</t>
  </si>
  <si>
    <t>完成支付</t>
  </si>
  <si>
    <t>收到checkout.completed，权益只发放一次</t>
  </si>
  <si>
    <t>PAY-003</t>
  </si>
  <si>
    <t>Webhook签名错误</t>
  </si>
  <si>
    <t>构造错误签名</t>
  </si>
  <si>
    <t>POST webhook</t>
  </si>
  <si>
    <t>401/400，不写payment_event和权益</t>
  </si>
  <si>
    <t>PAY-004</t>
  </si>
  <si>
    <t>Webhook重复投递</t>
  </si>
  <si>
    <t>同一event重复发送</t>
  </si>
  <si>
    <t>POST两次</t>
  </si>
  <si>
    <t>幂等处理，Credits不重复增加</t>
  </si>
  <si>
    <t>PAY-005</t>
  </si>
  <si>
    <t>Webhook乱序</t>
  </si>
  <si>
    <t>退款先后模拟</t>
  </si>
  <si>
    <t>按不同顺序投递</t>
  </si>
  <si>
    <t>最终权益状态一致，可人工追踪</t>
  </si>
  <si>
    <t>PAY-006</t>
  </si>
  <si>
    <t>支付成功但页面关闭</t>
  </si>
  <si>
    <t>完成支付后关闭浏览器</t>
  </si>
  <si>
    <t>重新登录</t>
  </si>
  <si>
    <t>账户权益由Webhook恢复，不依赖前端回跳</t>
  </si>
  <si>
    <t>PAY-007</t>
  </si>
  <si>
    <t>退款事件</t>
  </si>
  <si>
    <t>已有权益</t>
  </si>
  <si>
    <t>发送refund.created</t>
  </si>
  <si>
    <t>按退款政策撤销或标记对应权益</t>
  </si>
  <si>
    <t>PAY-008</t>
  </si>
  <si>
    <t>争议事件</t>
  </si>
  <si>
    <t>已有订单</t>
  </si>
  <si>
    <t>发送dispute.created</t>
  </si>
  <si>
    <t>订单标记争议并进入人工处理</t>
  </si>
  <si>
    <t>PAY-009</t>
  </si>
  <si>
    <t>Test/Live密钥隔离</t>
  </si>
  <si>
    <t>两套环境</t>
  </si>
  <si>
    <t>检查配置</t>
  </si>
  <si>
    <t>测试环境不能调用Live产品，生产不使用Test Secret</t>
  </si>
  <si>
    <t>PAY-010</t>
  </si>
  <si>
    <t>价格与权益一致</t>
  </si>
  <si>
    <t>官网/Creem/账户页</t>
  </si>
  <si>
    <t>人工核对</t>
  </si>
  <si>
    <t>商品名、$价格、权益与退款政策一致</t>
  </si>
  <si>
    <t>DEP-001</t>
  </si>
  <si>
    <t>Smoke/Resilience</t>
  </si>
  <si>
    <t>Vercel生产构建</t>
  </si>
  <si>
    <t>代码冻结</t>
  </si>
  <si>
    <t>执行build/deploy</t>
  </si>
  <si>
    <t>构建通过，正式域名HTTPS可访问</t>
  </si>
  <si>
    <t>CI/curl/Playwright</t>
  </si>
  <si>
    <t>DEP-002</t>
  </si>
  <si>
    <t>后端健康检查</t>
  </si>
  <si>
    <t>API已部署</t>
  </si>
  <si>
    <t>GET /health</t>
  </si>
  <si>
    <t>200，数据库依赖正常，无密钥泄露</t>
  </si>
  <si>
    <t>DEP-003</t>
  </si>
  <si>
    <t>数据库迁移</t>
  </si>
  <si>
    <t>staging空库</t>
  </si>
  <si>
    <t>执行migration</t>
  </si>
  <si>
    <t>表/索引/RLS创建成功，可回滚</t>
  </si>
  <si>
    <t>DEP-004</t>
  </si>
  <si>
    <t>环境隔离</t>
  </si>
  <si>
    <t>staging/prod</t>
  </si>
  <si>
    <t>对比配置</t>
  </si>
  <si>
    <t>数据库、Creem密钥、AI预算、日志完全隔离</t>
  </si>
  <si>
    <t>DEP-005</t>
  </si>
  <si>
    <t>CORS正式域名</t>
  </si>
  <si>
    <t>生产API</t>
  </si>
  <si>
    <t>从非法origin请求</t>
  </si>
  <si>
    <t>被拒；正式Web域名可正常调用</t>
  </si>
  <si>
    <t>DEP-006</t>
  </si>
  <si>
    <t>密钥扫描</t>
  </si>
  <si>
    <t>代码和构建产物</t>
  </si>
  <si>
    <t>运行secret scan</t>
  </si>
  <si>
    <t>无API Key/service role/webhook secret入库</t>
  </si>
  <si>
    <t>DEP-007</t>
  </si>
  <si>
    <t>staging有测试局</t>
  </si>
  <si>
    <t>备份后恢复</t>
  </si>
  <si>
    <t>StoryRun/StoryEvent/AiTask可恢复并继续</t>
  </si>
  <si>
    <t>DEP-008</t>
  </si>
  <si>
    <t>回滚演练</t>
  </si>
  <si>
    <t>部署新版本</t>
  </si>
  <si>
    <t>切回上一版本</t>
  </si>
  <si>
    <t>服务恢复，数据库兼容或按脚本回滚</t>
  </si>
  <si>
    <t>DEP-009</t>
  </si>
  <si>
    <t>上线冒烟</t>
  </si>
  <si>
    <t>production</t>
  </si>
  <si>
    <t>首页→登录→创建局→决策→刷新→恢复</t>
  </si>
  <si>
    <t>完整通过，无5xx</t>
  </si>
  <si>
    <t>DEP-010</t>
  </si>
  <si>
    <t>监控与告警</t>
  </si>
  <si>
    <t>注入测试异常</t>
  </si>
  <si>
    <t>触发5xx/存储失败/私密字段</t>
  </si>
  <si>
    <t>Sentry/告警渠道收到事件</t>
  </si>
  <si>
    <t>DEP-011</t>
  </si>
  <si>
    <t>海外访问</t>
  </si>
  <si>
    <t>海外网络</t>
  </si>
  <si>
    <t>访问Web/API/Creem</t>
  </si>
  <si>
    <t>页面、登录、游戏和支付链接可访问</t>
  </si>
  <si>
    <t>DEP-012</t>
  </si>
  <si>
    <t>服务重启恢复</t>
  </si>
  <si>
    <t>resolving/playing状态</t>
  </si>
  <si>
    <t>重启API</t>
  </si>
  <si>
    <t>通过幂等账本恢复或fallback，不重复落账</t>
  </si>
  <si>
    <t>AI多人剧情推演｜模拟对局与稳定性记录</t>
  </si>
  <si>
    <t>模拟对局用于证明：12次主线决策、0—12次谋划、关键事件、并发、AI失败、刷新恢复、权限和支付闭环都能稳定完成。SIM-025要求连续20局无死路。</t>
  </si>
  <si>
    <t>模拟ID</t>
  </si>
  <si>
    <t>场景类型</t>
  </si>
  <si>
    <t>路径/故障注入</t>
  </si>
  <si>
    <t>主线决策策略</t>
  </si>
  <si>
    <t>谋划策略</t>
  </si>
  <si>
    <t>关键事件策略</t>
  </si>
  <si>
    <t>预期重点</t>
  </si>
  <si>
    <t>是否通过</t>
  </si>
  <si>
    <t>实际结局</t>
  </si>
  <si>
    <t>完成天数</t>
  </si>
  <si>
    <t>主线决策数</t>
  </si>
  <si>
    <t>谋划次数</t>
  </si>
  <si>
    <t>AI调用数</t>
  </si>
  <si>
    <t>总Token</t>
  </si>
  <si>
    <t>估算成本</t>
  </si>
  <si>
    <t>Fallback数</t>
  </si>
  <si>
    <t>耗时(分钟)</t>
  </si>
  <si>
    <t>缺陷/异常</t>
  </si>
  <si>
    <t>证据/日志</t>
  </si>
  <si>
    <t>SIM-001</t>
  </si>
  <si>
    <t>主路径</t>
  </si>
  <si>
    <t>全A</t>
  </si>
  <si>
    <t>每次选择A</t>
  </si>
  <si>
    <t>不使用谋划</t>
  </si>
  <si>
    <t>状态签名A；到第7天；命中结局A；无死路</t>
  </si>
  <si>
    <t>SIM-002</t>
  </si>
  <si>
    <t>全B</t>
  </si>
  <si>
    <t>每次选择B</t>
  </si>
  <si>
    <t>状态签名B；与全A至少一项结局/关键因果不同</t>
  </si>
  <si>
    <t>SIM-003</t>
  </si>
  <si>
    <t>全C</t>
  </si>
  <si>
    <t>每次选择C</t>
  </si>
  <si>
    <t>状态签名C；与A/B存在差异</t>
  </si>
  <si>
    <t>SIM-004</t>
  </si>
  <si>
    <t>混合路径</t>
  </si>
  <si>
    <t>C,B,C,B,B,C,A,B,C,A,B,B</t>
  </si>
  <si>
    <t>按配置</t>
  </si>
  <si>
    <t>12次主线完整；命中可解释结局</t>
  </si>
  <si>
    <t>SIM-005</t>
  </si>
  <si>
    <t>谋划路径</t>
  </si>
  <si>
    <t>零谋划</t>
  </si>
  <si>
    <t>混合主线</t>
  </si>
  <si>
    <t>每天0次</t>
  </si>
  <si>
    <t>仍可完成全局结局；未用机会不阻塞</t>
  </si>
  <si>
    <t>SIM-006</t>
  </si>
  <si>
    <t>每天1次contact</t>
  </si>
  <si>
    <t>关系轨迹与零谋划不同</t>
  </si>
  <si>
    <t>SIM-007</t>
  </si>
  <si>
    <t>调查</t>
  </si>
  <si>
    <t>每天1次investigate</t>
  </si>
  <si>
    <t>线索/证据/FateSeed轨迹发生变化</t>
  </si>
  <si>
    <t>SIM-008</t>
  </si>
  <si>
    <t>每天1次leverage</t>
  </si>
  <si>
    <t>筹码状态和责任/叙事定性变化</t>
  </si>
  <si>
    <t>SIM-009</t>
  </si>
  <si>
    <t>满量谋划</t>
  </si>
  <si>
    <t>每天2次，共12次</t>
  </si>
  <si>
    <t>不能超过12次；每天重置；主线仍为12次</t>
  </si>
  <si>
    <t>SIM-010</t>
  </si>
  <si>
    <t>自定义输入</t>
  </si>
  <si>
    <t>全自定义合法行动</t>
  </si>
  <si>
    <t>每次使用合法自定义文本</t>
  </si>
  <si>
    <t>每天1次自拟谋划</t>
  </si>
  <si>
    <t>ActionGuard允许；输出结构化；无越权</t>
  </si>
  <si>
    <t>SIM-011</t>
  </si>
  <si>
    <t>关键事件</t>
  </si>
  <si>
    <t>全部立即处理</t>
  </si>
  <si>
    <t>随机</t>
  </si>
  <si>
    <t>全部立即</t>
  </si>
  <si>
    <t>critical_response计入主线槽位，总数仍12</t>
  </si>
  <si>
    <t>SIM-012</t>
  </si>
  <si>
    <t>延后再处理</t>
  </si>
  <si>
    <t>先延后，后处理</t>
  </si>
  <si>
    <t>刷新可恢复待处理；只落账一次</t>
  </si>
  <si>
    <t>SIM-013</t>
  </si>
  <si>
    <t>恢复</t>
  </si>
  <si>
    <t>各状态刷新</t>
  </si>
  <si>
    <t>在awaiting/resolving/day_advance/finalization/finished刷新均恢复</t>
  </si>
  <si>
    <t>SIM-014</t>
  </si>
  <si>
    <t>并发</t>
  </si>
  <si>
    <t>双标签页提交</t>
  </si>
  <si>
    <t>同一prompt并发不同选择</t>
  </si>
  <si>
    <t>只有一个成功，另一个VERSION_CONFLICT/已解决</t>
  </si>
  <si>
    <t>SIM-015</t>
  </si>
  <si>
    <t>同一请求重复5次</t>
  </si>
  <si>
    <t>同一idempotencyKey</t>
  </si>
  <si>
    <t>同一谋划重复</t>
  </si>
  <si>
    <t>只产生一组事件、一次扣减</t>
  </si>
  <si>
    <t>SIM-016</t>
  </si>
  <si>
    <t>AI故障</t>
  </si>
  <si>
    <t>超时一次</t>
  </si>
  <si>
    <t>自动重试后成功，不重复落账</t>
  </si>
  <si>
    <t>SIM-017</t>
  </si>
  <si>
    <t>超时两次</t>
  </si>
  <si>
    <t>规则fallback完成，用户不中断</t>
  </si>
  <si>
    <t>SIM-018</t>
  </si>
  <si>
    <t>返回非JSON/缺字段</t>
  </si>
  <si>
    <t>Schema拒绝，重试或fallback</t>
  </si>
  <si>
    <t>SIM-019</t>
  </si>
  <si>
    <t>存储故障</t>
  </si>
  <si>
    <t>事务写入失败</t>
  </si>
  <si>
    <t>进入可恢复状态；恢复后只落账一次</t>
  </si>
  <si>
    <t>SIM-020</t>
  </si>
  <si>
    <t>服务故障</t>
  </si>
  <si>
    <t>resolving中重启API</t>
  </si>
  <si>
    <t>提交后重启</t>
  </si>
  <si>
    <t>AiTask/幂等账本恢复或fallback</t>
  </si>
  <si>
    <t>SIM-021</t>
  </si>
  <si>
    <t>网络故障</t>
  </si>
  <si>
    <t>前端断网后重试</t>
  </si>
  <si>
    <t>提交时断网</t>
  </si>
  <si>
    <t>用户决定不重复；恢复后获得同一结果</t>
  </si>
  <si>
    <t>SIM-022</t>
  </si>
  <si>
    <t>异常入口</t>
  </si>
  <si>
    <t>无效runId</t>
  </si>
  <si>
    <t>明确RUN_NOT_FOUND，不创建新局</t>
  </si>
  <si>
    <t>SIM-023</t>
  </si>
  <si>
    <t>状态机</t>
  </si>
  <si>
    <t>提前finalize</t>
  </si>
  <si>
    <t>第1-6天</t>
  </si>
  <si>
    <t>SIM-024</t>
  </si>
  <si>
    <t>重复finalize</t>
  </si>
  <si>
    <t>第7天完成后重复</t>
  </si>
  <si>
    <t>返回同一结局，不重复事件</t>
  </si>
  <si>
    <t>SIM-025</t>
  </si>
  <si>
    <t>稳定性</t>
  </si>
  <si>
    <t>随机路径连续20局</t>
  </si>
  <si>
    <t>随机A/B/C/CUSTOM</t>
  </si>
  <si>
    <t>随机0-2次</t>
  </si>
  <si>
    <t>20局均可完成，无死路、无状态越界</t>
  </si>
  <si>
    <t>SIM-026</t>
  </si>
  <si>
    <t>安全</t>
  </si>
  <si>
    <t>随机路径</t>
  </si>
  <si>
    <t>响应/HTML不含私密推理、内部收益风险、密钥</t>
  </si>
  <si>
    <t>SIM-027</t>
  </si>
  <si>
    <t>登录后创建与恢复</t>
  </si>
  <si>
    <t>退出再登录可继续同一StoryRun</t>
  </si>
  <si>
    <t>SIM-028</t>
  </si>
  <si>
    <t>用户B尝试访问A的局</t>
  </si>
  <si>
    <t>被拒绝且不泄露数据</t>
  </si>
  <si>
    <t>SIM-029</t>
  </si>
  <si>
    <t>Test支付后开通权益</t>
  </si>
  <si>
    <t>开始前支付</t>
  </si>
  <si>
    <t>Webhook发放一次，账户页可见</t>
  </si>
  <si>
    <t>SIM-030</t>
  </si>
  <si>
    <t>重复Webhook/退款</t>
  </si>
  <si>
    <t>已支付</t>
  </si>
  <si>
    <t>权益幂等；退款后状态符合政策</t>
  </si>
  <si>
    <t>SIM-031</t>
  </si>
  <si>
    <t>设备</t>
  </si>
  <si>
    <t>1366×768桌面</t>
  </si>
  <si>
    <t>核心输入、提交、三栏均不遮挡</t>
  </si>
  <si>
    <t>SIM-032</t>
  </si>
  <si>
    <t>1440×900桌面</t>
  </si>
  <si>
    <t>布局稳定，滚动和弹窗正常</t>
  </si>
  <si>
    <t>SIM-033</t>
  </si>
  <si>
    <t>性能</t>
  </si>
  <si>
    <t>叙事事件较多</t>
  </si>
  <si>
    <t>完整12决策+12谋划</t>
  </si>
  <si>
    <t>满量</t>
  </si>
  <si>
    <t>加载和滚动流畅，增量接口正常</t>
  </si>
  <si>
    <t>SIM-034</t>
  </si>
  <si>
    <t>成本</t>
  </si>
  <si>
    <t>达到单局Token预算</t>
  </si>
  <si>
    <t>按优先级降级，仍可完成结局</t>
  </si>
  <si>
    <t>SIM-035</t>
  </si>
  <si>
    <t>备份</t>
  </si>
  <si>
    <t>从事件流重建快照</t>
  </si>
  <si>
    <t>完成到第5天</t>
  </si>
  <si>
    <t>StoryRun与StoryEvent一致，activePrompt正确</t>
  </si>
  <si>
    <t>AI多人剧情推演｜MVP部署方案与执行清单</t>
  </si>
  <si>
    <t>推荐最少改造方案：Vercel部署现有Web；Railway/Render运行现有NestJS API；Supabase提供PostgreSQL与Auth；Creem负责支付；LLM按调用付费。若坚持不使用Railway，需要先将NestJS和AI长任务改造成Vercel Functions/Workflow。价格以官方页面为准，表内于2026-07-13核对。</t>
  </si>
  <si>
    <t>一、推荐架构与服务分工</t>
  </si>
  <si>
    <t>层级</t>
  </si>
  <si>
    <t>推荐服务</t>
  </si>
  <si>
    <t>负责内容</t>
  </si>
  <si>
    <t>当前建议</t>
  </si>
  <si>
    <t>成本判断</t>
  </si>
  <si>
    <t>官方来源</t>
  </si>
  <si>
    <t>Web前端</t>
  </si>
  <si>
    <t>Vercel</t>
  </si>
  <si>
    <t>部署现有 apps/web、CDN、HTTPS、自定义域名</t>
  </si>
  <si>
    <t>当前已使用；继续保留</t>
  </si>
  <si>
    <t>Hobby $0；Pro $20/月（商业上线按官方条款选择）</t>
  </si>
  <si>
    <t>前端静态资源和普通Web请求</t>
  </si>
  <si>
    <t>https://vercel.com/pricing</t>
  </si>
  <si>
    <t>Railway（推荐）</t>
  </si>
  <si>
    <t>运行现有 NestJS apps/api、长请求、Health Check</t>
  </si>
  <si>
    <t>推荐：最少改造现有后端</t>
  </si>
  <si>
    <t>Free含少量资源；Hobby最低$5/月并含$5使用额度</t>
  </si>
  <si>
    <t>若改造成Vercel Functions/Workflow可不使用Railway</t>
  </si>
  <si>
    <t>https://railway.com/pricing</t>
  </si>
  <si>
    <t>Supabase PostgreSQL</t>
  </si>
  <si>
    <t>StoryRun、StoryEvent、AiTask、用户与支付权益</t>
  </si>
  <si>
    <t>推荐</t>
  </si>
  <si>
    <t>Free可用于开发；Pro $25/月起</t>
  </si>
  <si>
    <t>运行态权威数据</t>
  </si>
  <si>
    <t>https://supabase.com/pricing</t>
  </si>
  <si>
    <t>登录</t>
  </si>
  <si>
    <t>邮箱验证码/Magic Link、会话和用户ID</t>
  </si>
  <si>
    <t>Free额度足够早期MVP</t>
  </si>
  <si>
    <t>前端anon key；服务端service role</t>
  </si>
  <si>
    <t>https://supabase.com/docs/guides/auth</t>
  </si>
  <si>
    <t>文件</t>
  </si>
  <si>
    <t>Vercel public / Supabase Storage</t>
  </si>
  <si>
    <t>静态品牌资源放Vercel；用户生成资源放Storage</t>
  </si>
  <si>
    <t>按需</t>
  </si>
  <si>
    <t>早期通常免费额度够用</t>
  </si>
  <si>
    <t>MVP文本为主，暂不大量存视频</t>
  </si>
  <si>
    <t>https://supabase.com/docs/guides/storage</t>
  </si>
  <si>
    <t>AI</t>
  </si>
  <si>
    <t>OpenAI/DeepSeek等</t>
  </si>
  <si>
    <t>ActionGuard、角色反应、剧情表达</t>
  </si>
  <si>
    <t>必需</t>
  </si>
  <si>
    <t>按调用付费</t>
  </si>
  <si>
    <t>规则引擎仍是状态权威</t>
  </si>
  <si>
    <t>https://platform.openai.com/docs / 具体模型供应商官方文档</t>
  </si>
  <si>
    <t>Checkout、税务/MoR、Webhook、退款/争议</t>
  </si>
  <si>
    <t>正式收费必需</t>
  </si>
  <si>
    <t>通常按交易收费</t>
  </si>
  <si>
    <t>先Test Mode，审核通过后Live</t>
  </si>
  <si>
    <t>https://docs.creem.io/getting-started/quickstart</t>
  </si>
  <si>
    <t>域名与邮件</t>
  </si>
  <si>
    <t>Cloudflare DNS + Email Routing</t>
  </si>
  <si>
    <t>域名解析、HTTPS辅助、support@转发</t>
  </si>
  <si>
    <t>基础功能可免费</t>
  </si>
  <si>
    <t>客服邮箱需真实可收件</t>
  </si>
  <si>
    <t>https://developers.cloudflare.com/email-routing/</t>
  </si>
  <si>
    <t>监控</t>
  </si>
  <si>
    <t>Vercel/Railway Logs + Sentry</t>
  </si>
  <si>
    <t>错误、版本、AI失败与告警</t>
  </si>
  <si>
    <t>早期可用免费额度</t>
  </si>
  <si>
    <t>禁止记录密钥和完整私密输入</t>
  </si>
  <si>
    <t>https://sentry.io/pricing/</t>
  </si>
  <si>
    <t>分析</t>
  </si>
  <si>
    <t>轻量分析工具</t>
  </si>
  <si>
    <t>来源、登录、开局、决策、结局、支付点击</t>
  </si>
  <si>
    <t>可先免费</t>
  </si>
  <si>
    <t>按实际采用的分析工具官方定价页</t>
  </si>
  <si>
    <t>二、环境分层</t>
  </si>
  <si>
    <t>环境</t>
  </si>
  <si>
    <t>密钥</t>
  </si>
  <si>
    <t>数据策略</t>
  </si>
  <si>
    <t>local</t>
  </si>
  <si>
    <t>本地开发</t>
  </si>
  <si>
    <t>本地/开发Supabase项目</t>
  </si>
  <si>
    <t>mock/rules优先</t>
  </si>
  <si>
    <t>Creem Test</t>
  </si>
  <si>
    <t>开发密钥</t>
  </si>
  <si>
    <t>可随时重置</t>
  </si>
  <si>
    <t>test</t>
  </si>
  <si>
    <t>自动化测试</t>
  </si>
  <si>
    <t>每次隔离或事务回滚</t>
  </si>
  <si>
    <t>固定mock</t>
  </si>
  <si>
    <t>不调用真实支付</t>
  </si>
  <si>
    <t>测试密钥</t>
  </si>
  <si>
    <t>CI自动执行</t>
  </si>
  <si>
    <t>staging</t>
  </si>
  <si>
    <t>上线前试玩验收</t>
  </si>
  <si>
    <t>独立Supabase项目/Schema</t>
  </si>
  <si>
    <t>真实模型+fallback+较低预算</t>
  </si>
  <si>
    <t>独立密钥</t>
  </si>
  <si>
    <t>至少完成20局连续模拟</t>
  </si>
  <si>
    <t>正式Limited Beta</t>
  </si>
  <si>
    <t>生产Supabase+备份</t>
  </si>
  <si>
    <t>真实模型+限额+告警</t>
  </si>
  <si>
    <t>Creem Live或候补</t>
  </si>
  <si>
    <t>生产密钥</t>
  </si>
  <si>
    <t>与staging完全隔离</t>
  </si>
  <si>
    <t>三、部署执行任务</t>
  </si>
  <si>
    <t>部署任务</t>
  </si>
  <si>
    <t>服务/平台</t>
  </si>
  <si>
    <t>卡点/下一步</t>
  </si>
  <si>
    <t>架构决策</t>
  </si>
  <si>
    <t>确认MVP部署组合</t>
  </si>
  <si>
    <t>推荐 Vercel Web + Railway NestJS API + Supabase Auth/Postgres + LLM + Creem。</t>
  </si>
  <si>
    <t>全局</t>
  </si>
  <si>
    <t>确认是否保留现有NestJS部署到Railway</t>
  </si>
  <si>
    <t>创建开发项目</t>
  </si>
  <si>
    <t>创建项目、区域、数据库密码、anon/service role密钥并保存。</t>
  </si>
  <si>
    <t>创建staging/production隔离</t>
  </si>
  <si>
    <t>至少staging与production不共享数据库和密钥。</t>
  </si>
  <si>
    <t>开发项目</t>
  </si>
  <si>
    <t>执行Prisma迁移</t>
  </si>
  <si>
    <t>创建StoryRun/StoryEvent/AiTask/profiles/payment_events/entitlements。</t>
  </si>
  <si>
    <t>数据库模型</t>
  </si>
  <si>
    <t>配置RLS与服务端访问</t>
  </si>
  <si>
    <t>用户只能访问自己的run；service role仅API环境。</t>
  </si>
  <si>
    <t>登录/表结构</t>
  </si>
  <si>
    <t>启用备份与恢复记录</t>
  </si>
  <si>
    <t>生产阶段每日备份，记录恢复步骤和责任人。</t>
  </si>
  <si>
    <t>绑定正式域名</t>
  </si>
  <si>
    <t>ourmanyworlds.com HTTPS稳定，www重定向策略明确。</t>
  </si>
  <si>
    <t>Vercel/Cloudflare</t>
  </si>
  <si>
    <t>配置构建命令与输出目录</t>
  </si>
  <si>
    <t>apps/web生产构建可重复执行。</t>
  </si>
  <si>
    <t>待确认</t>
  </si>
  <si>
    <t>配置前端环境变量</t>
  </si>
  <si>
    <t>PUBLIC_API_BASE_URL、Supabase public URL/anon key、分析配置。</t>
  </si>
  <si>
    <t>API域名/Supabase</t>
  </si>
  <si>
    <t>配置Preview与Production</t>
  </si>
  <si>
    <t>PR/分支预览不连接生产数据库和Live支付。</t>
  </si>
  <si>
    <t>后端平台</t>
  </si>
  <si>
    <t>创建Railway API服务</t>
  </si>
  <si>
    <t>从仓库部署apps/api，配置启动命令、端口和自动重启。</t>
  </si>
  <si>
    <t>Railway</t>
  </si>
  <si>
    <t>配置Health Check</t>
  </si>
  <si>
    <t>/health返回200并检查数据库连接。</t>
  </si>
  <si>
    <t>API实现</t>
  </si>
  <si>
    <t>DEP-013</t>
  </si>
  <si>
    <t>配置API域名</t>
  </si>
  <si>
    <t>使用api.ourmanyworlds.com或Vercel反向代理，启用HTTPS。</t>
  </si>
  <si>
    <t>Railway/Cloudflare</t>
  </si>
  <si>
    <t>Railway服务</t>
  </si>
  <si>
    <t>DEP-014</t>
  </si>
  <si>
    <t>配置资源与超时</t>
  </si>
  <si>
    <t>低配CPU/内存起步；AI请求25秒超时+1次重试+fallback。</t>
  </si>
  <si>
    <t>Railway/API</t>
  </si>
  <si>
    <t>AI实现</t>
  </si>
  <si>
    <t>DEP-015</t>
  </si>
  <si>
    <t>部署staging API</t>
  </si>
  <si>
    <t>使用staging数据库、Creem Test、测试AI预算。</t>
  </si>
  <si>
    <t>staging环境</t>
  </si>
  <si>
    <t>DEP-016</t>
  </si>
  <si>
    <t>部署production API</t>
  </si>
  <si>
    <t>使用生产数据库、Live/候补支付和正式告警。</t>
  </si>
  <si>
    <t>staging验收</t>
  </si>
  <si>
    <t>DEP-017</t>
  </si>
  <si>
    <t>域名/CORS</t>
  </si>
  <si>
    <t>配置Web到API跨域</t>
  </si>
  <si>
    <t>只允许正式/预览域名；Cookie/Auth头正常。</t>
  </si>
  <si>
    <t>API/Cloudflare</t>
  </si>
  <si>
    <t>API域名</t>
  </si>
  <si>
    <t>DEP-018</t>
  </si>
  <si>
    <t>配置Test API Key</t>
  </si>
  <si>
    <t>后端能创建测试Checkout，密钥不进入前端。</t>
  </si>
  <si>
    <t>Creem/API</t>
  </si>
  <si>
    <t>DEP-019</t>
  </si>
  <si>
    <t>配置Webhook公网地址</t>
  </si>
  <si>
    <t>完整URL /api/v4/webhooks/creem，订阅checkout/refund/dispute。</t>
  </si>
  <si>
    <t>API公网域名</t>
  </si>
  <si>
    <t>DEP-020</t>
  </si>
  <si>
    <t>配置Webhook Secret</t>
  </si>
  <si>
    <t>服务端校验签名和原始请求体。</t>
  </si>
  <si>
    <t>Webhook地址</t>
  </si>
  <si>
    <t>DEP-021</t>
  </si>
  <si>
    <t>Live环境切换</t>
  </si>
  <si>
    <t>审核通过后新建Live产品并替换Live环境变量。</t>
  </si>
  <si>
    <t>Creem审核/staging测试</t>
  </si>
  <si>
    <t>DEP-022</t>
  </si>
  <si>
    <t>配置Provider密钥与模型</t>
  </si>
  <si>
    <t>AI_API_KEY/BASE_URL/MODEL只在API环境。</t>
  </si>
  <si>
    <t>AI provider</t>
  </si>
  <si>
    <t>DEP-023</t>
  </si>
  <si>
    <t>配置单局预算</t>
  </si>
  <si>
    <t>超时、重试、token、调用数和成本上限生效。</t>
  </si>
  <si>
    <t>API</t>
  </si>
  <si>
    <t>DEP-024</t>
  </si>
  <si>
    <t>日志监控</t>
  </si>
  <si>
    <t>接入结构化日志</t>
  </si>
  <si>
    <t>requestId/runId/eventId/version/fallback/token/成本可查。</t>
  </si>
  <si>
    <t>API/平台日志</t>
  </si>
  <si>
    <t>DEP-025</t>
  </si>
  <si>
    <t>接入Sentry/告警</t>
  </si>
  <si>
    <t>5xx、存储失败、finalize失败、私密字段泄露和成本超限告警。</t>
  </si>
  <si>
    <t>Sentry/Webhook</t>
  </si>
  <si>
    <t>DEP-026</t>
  </si>
  <si>
    <t>配置密钥管理</t>
  </si>
  <si>
    <t>所有secret仅平台环境变量；执行仓库密钥扫描。</t>
  </si>
  <si>
    <t>Vercel/Railway</t>
  </si>
  <si>
    <t>DEP-027</t>
  </si>
  <si>
    <t>配置安全响应头</t>
  </si>
  <si>
    <t>CSP、HSTS、X-Content-Type-Options、Referrer-Policy。</t>
  </si>
  <si>
    <t>Vercel/API</t>
  </si>
  <si>
    <t>生产域名</t>
  </si>
  <si>
    <t>DEP-028</t>
  </si>
  <si>
    <t>配置备份和恢复演练</t>
  </si>
  <si>
    <t>备份后恢复到隔离环境，并从事件流校验快照。</t>
  </si>
  <si>
    <t>staging数据</t>
  </si>
  <si>
    <t>DEP-029</t>
  </si>
  <si>
    <t>发布</t>
  </si>
  <si>
    <t>执行staging冒烟</t>
  </si>
  <si>
    <t>首页→登录→创建/进入房间→决策→谋划→刷新→结局/支付Test。</t>
  </si>
  <si>
    <t>全部</t>
  </si>
  <si>
    <t>P0开发完成</t>
  </si>
  <si>
    <t>DEP-030</t>
  </si>
  <si>
    <t>执行20局模拟</t>
  </si>
  <si>
    <t>A/B/C/Mixed、0/1/2谋划、AI失败、恢复、并发全部通过。</t>
  </si>
  <si>
    <t>测试脚本/staging</t>
  </si>
  <si>
    <t>DEP-031</t>
  </si>
  <si>
    <t>生产迁移与部署</t>
  </si>
  <si>
    <t>先数据库迁移，再API，再Web；记录版本号与时间。</t>
  </si>
  <si>
    <t>DEP-032</t>
  </si>
  <si>
    <t>生产完成一次真实登录、创建局、决策和恢复；支付按Live/候补检查。</t>
  </si>
  <si>
    <t>生产部署</t>
  </si>
  <si>
    <t>DEP-033</t>
  </si>
  <si>
    <t>回滚方案</t>
  </si>
  <si>
    <t>保留上一版本、数据库回滚/前向修复脚本和紧急关闭支付开关。</t>
  </si>
  <si>
    <t>迁移验证</t>
  </si>
  <si>
    <t>DEP-034</t>
  </si>
  <si>
    <t>上线监控与客服</t>
  </si>
  <si>
    <t>上线24小时监控5xx/AI/成本/支付；support邮箱可响应。</t>
  </si>
  <si>
    <t>四、关键环境变量清单（只记录变量名，不在Excel填写真实Secret）</t>
  </si>
  <si>
    <t>类别</t>
  </si>
  <si>
    <t>变量名</t>
  </si>
  <si>
    <t>使用位置</t>
  </si>
  <si>
    <t>是否Secret</t>
  </si>
  <si>
    <t>说明</t>
  </si>
  <si>
    <t>Web</t>
  </si>
  <si>
    <t>PUBLIC_API_BASE_URL</t>
  </si>
  <si>
    <t>API公开地址或同域/api</t>
  </si>
  <si>
    <t>SUPABASE_URL</t>
  </si>
  <si>
    <t>Web/API</t>
  </si>
  <si>
    <t>项目URL</t>
  </si>
  <si>
    <t>SUPABASE_ANON_KEY</t>
  </si>
  <si>
    <t>仅公开anon key</t>
  </si>
  <si>
    <t>SUPABASE_SERVICE_ROLE_KEY</t>
  </si>
  <si>
    <t>绝不进入前端</t>
  </si>
  <si>
    <t>Database</t>
  </si>
  <si>
    <t>DATABASE_URL</t>
  </si>
  <si>
    <t>API/Prisma</t>
  </si>
  <si>
    <t>PostgreSQL连接串</t>
  </si>
  <si>
    <t>AI_CAUSAL_PROVIDER</t>
  </si>
  <si>
    <t>rules/mock/openai/deepseek</t>
  </si>
  <si>
    <t>AI_BASE_URL</t>
  </si>
  <si>
    <t>模型服务地址</t>
  </si>
  <si>
    <t>AI_MODEL</t>
  </si>
  <si>
    <t>模型名称</t>
  </si>
  <si>
    <t>AI_API_KEY</t>
  </si>
  <si>
    <t>模型密钥</t>
  </si>
  <si>
    <t>AI_TIMEOUT_MS</t>
  </si>
  <si>
    <t>建议25000</t>
  </si>
  <si>
    <t>AI_MAX_RETRIES</t>
  </si>
  <si>
    <t>建议1</t>
  </si>
  <si>
    <t>AI_RUN_MAX_CALLS</t>
  </si>
  <si>
    <t>建议55</t>
  </si>
  <si>
    <t>AI_RUN_MAX_TOTAL_TOKENS</t>
  </si>
  <si>
    <t>建议260000</t>
  </si>
  <si>
    <t>CREEM_API_KEY</t>
  </si>
  <si>
    <t>test/live</t>
  </si>
  <si>
    <t>创建Checkout</t>
  </si>
  <si>
    <t>CREEM_WEBHOOK_SECRET</t>
  </si>
  <si>
    <t>验证Webhook签名</t>
  </si>
  <si>
    <t>CREEM_PRODUCT_ID</t>
  </si>
  <si>
    <t>Test与Live不同</t>
  </si>
  <si>
    <t>DATA_ENCRYPTION_KEY</t>
  </si>
  <si>
    <t>加密受控AI原始响应</t>
  </si>
  <si>
    <t>Observability</t>
  </si>
  <si>
    <t>SENTRY_DSN</t>
  </si>
  <si>
    <t>是/受控</t>
  </si>
  <si>
    <t>ALERT_WEBHOOK_URL</t>
  </si>
  <si>
    <t>告警渠道</t>
  </si>
  <si>
    <t>Backup</t>
  </si>
  <si>
    <t>BACKUP_RETENTION_DAYS</t>
  </si>
  <si>
    <t>API/运维</t>
  </si>
  <si>
    <t>建议30</t>
  </si>
  <si>
    <t>AI多人剧情推演｜研发、测试与部署总览</t>
  </si>
  <si>
    <t>本页按新增细分任务自动汇总。注意：开发拆分后包含登录、数据库、后端、AI、支付、测试与部署，计算完成度可能明显低于原先“约30%”的体感。</t>
  </si>
  <si>
    <t>开发任务</t>
  </si>
  <si>
    <t>测试用例</t>
  </si>
  <si>
    <t>模拟对局</t>
  </si>
  <si>
    <t>总数</t>
  </si>
  <si>
    <t>已通过</t>
  </si>
  <si>
    <t>通过率</t>
  </si>
  <si>
    <t>开发模块进度</t>
  </si>
  <si>
    <t>测试模块进度</t>
  </si>
  <si>
    <t>用例数</t>
  </si>
  <si>
    <t>通过</t>
  </si>
  <si>
    <t>失败/阻塞</t>
  </si>
  <si>
    <t>发布闸门（全部满足后再公开Limited Beta）</t>
  </si>
  <si>
    <t>闸门</t>
  </si>
  <si>
    <t>判定标准</t>
  </si>
  <si>
    <t>当前状态</t>
  </si>
  <si>
    <t>责任人</t>
  </si>
  <si>
    <t>开发进度中P0且上线阻断=是的任务全部已完成</t>
  </si>
  <si>
    <t>登录与房间</t>
  </si>
  <si>
    <t>AUTH-001、ROOM-001、ROOM-003通过</t>
  </si>
  <si>
    <t>P0测试通过</t>
  </si>
  <si>
    <t>测试进度中P0上线阻断用例全部通过</t>
  </si>
  <si>
    <t>AI与恢复</t>
  </si>
  <si>
    <t>R-002、R-008、R-009通过</t>
  </si>
  <si>
    <t>核心7天闭环</t>
  </si>
  <si>
    <t>F-007、F-010及最终裁决相关测试通过</t>
  </si>
  <si>
    <t>Staging冒烟</t>
  </si>
  <si>
    <t>DEP-009通过且部署任务“执行staging冒烟”已完成</t>
  </si>
  <si>
    <t>20局模拟</t>
  </si>
  <si>
    <t>SIM-025通过且无P0缺陷</t>
  </si>
  <si>
    <t>支付或候补</t>
  </si>
  <si>
    <t>PAY-002通过；若Live未通过则候补入口已测试</t>
  </si>
  <si>
    <t>核验更新（2026-07-15）：已按当前代码、自动化测试与 Railway test 运行状态回填。已完成代表当前代码/测试证据成立；待审核代表实现已具备但 Vercel 正式发布、完整视觉验收或 Creem Dashboard 证据尚未闭环。</t>
  </si>
  <si>
    <t>2026-07-15：已按当前仓库、脚本与测试复核。</t>
  </si>
  <si>
    <t>随需求变化维护基线与契约。</t>
  </si>
  <si>
    <t>pnpm test:api、pnpm --filter @apps/web typecheck、pnpm lint:config 均通过。</t>
  </si>
  <si>
    <t>原表限定单人MVP/禁止真人多人；现行代码已演进为房间与多用户实现，原验收口径不再适用。</t>
  </si>
  <si>
    <t>后续以 v1.4 房间/多用户范围重建对应任务与验收口径。</t>
  </si>
  <si>
    <t>apps/api/src/rooms.controller.ts；docs/auto-execute/many-worlds-v14-p0-closeout-final-acceptance-gate.md</t>
  </si>
  <si>
    <t>本地命令已具备并通过本轮核验；CI 发布闸门未取得当前远端证据。</t>
  </si>
  <si>
    <t>补充 CI 执行记录与失败阻断证明。</t>
  </si>
  <si>
    <t>package.json scripts；本轮本地校验通过。</t>
  </si>
  <si>
    <t>local 与 Railway test 已核验；staging/production 与密钥隔离尚未验证。</t>
  </si>
  <si>
    <t>完成 Vercel/生产 API 域名、生产数据库与 Creem live 环境分层。</t>
  </si>
  <si>
    <t>Railway test /api/health、/api/health/ready 均为 200。</t>
  </si>
  <si>
    <t>当前实现与测试环境已存在；关键 API 需要身份验证。</t>
  </si>
  <si>
    <t>保留生产环境的人工验证。</t>
  </si>
  <si>
    <t>prisma/schema.prisma；apps/api/src/auth；apps/api/src/api-transport.ts</t>
  </si>
  <si>
    <t>用户、会话与房间恢复代码已存在，但原表的 Supabase profiles/自动刷新/历史列表口径尚未完整逐项验收。</t>
  </si>
  <si>
    <t>按现行账户模型补充真实浏览器验收。</t>
  </si>
  <si>
    <t>apps/api/src/auth；apps/api/src/rooms.service.ts；apps/web/public/platform.js</t>
  </si>
  <si>
    <t>目录、角色、创建、读取与持久化恢复均有当前实现和自动化验证。</t>
  </si>
  <si>
    <t>在 Vercel 正式域名上补做用户可见流程验收。</t>
  </si>
  <si>
    <t>Railway test GET /api/v4/stories=200；apps/api 的 HTTP 全流程与重启持久化断言通过。</t>
  </si>
  <si>
    <t>Prisma 持久化、事件、AI任务、版本与幂等控制均在当前代码和测试内。</t>
  </si>
  <si>
    <t>生产数据与权限策略继续按发布环境复核。</t>
  </si>
  <si>
    <t>prisma/schema.prisma；apps/api/src/prisma-mvp-storage.ts；apps/api/src/story.service.spec.ts</t>
  </si>
  <si>
    <t>本地备份/恢复脚本与历史证据存在；当前 Railway/Supabase 生产备份策略未完成验证。</t>
  </si>
  <si>
    <t>完成生产恢复演练与备份保留策略确认。</t>
  </si>
  <si>
    <t>scripts/ops；docs/auto-execute/results/db-restore-smoke-*.json</t>
  </si>
  <si>
    <t>对应 v4 API、健康检查与错误处理已在当前 Nest 服务中实现；API 测试通过。</t>
  </si>
  <si>
    <t>将公开 API 的端到端浏览器验收纳入 Vercel 发布后检查。</t>
  </si>
  <si>
    <t>apps/api/src/*.controller.ts；pnpm test:api；Railway test /api/health、/api/health/ready=200。</t>
  </si>
  <si>
    <t>页面与组件实现、现有截图和前端语法校验均存在；最终 P0 视觉验收仍未全部完成。</t>
  </si>
  <si>
    <t>在 Vercel 预览/正式域名执行全页面视觉与交互验收。</t>
  </si>
  <si>
    <t>apps/web/public；docs/auto-execute/screenshots/current-UI*.png；pnpm --filter @apps/web typecheck 通过。</t>
  </si>
  <si>
    <t>前端渲染路径使用转义辅助函数，当前前端语法校验通过。</t>
  </si>
  <si>
    <t>随新增渲染入口持续审查。</t>
  </si>
  <si>
    <t>apps/web/public/platform.js</t>
  </si>
  <si>
    <t>本轮前端语法检查通过；完整浏览器安全扫描与生产视觉门禁未完成。</t>
  </si>
  <si>
    <t>补齐 Vercel 部署后的浏览器安全与视觉扫描。</t>
  </si>
  <si>
    <t>pnpm --filter @apps/web typecheck 通过。</t>
  </si>
  <si>
    <t>主线决策、主动谋划、关键事件、跨日和最终裁决均有当前因果运行时与 API 全流程测试证据。</t>
  </si>
  <si>
    <t>保留真实用户场景与发布后回归。</t>
  </si>
  <si>
    <t>apps/api/src/mvp-causal-runtime.ts；apps/api/src/story.service.spec.ts；pnpm test:api 通过。</t>
  </si>
  <si>
    <t>规则/Mock/DeepSeek Provider、超时、重试、降级、预算和任务账本已在当前实现中。</t>
  </si>
  <si>
    <t>生产密钥与成本限额需在正式环境单独复核。</t>
  </si>
  <si>
    <t>apps/api/src/mvp-narrative-provider.ts；apps/api/src/mvp-causal-runtime.ts；.env.example</t>
  </si>
  <si>
    <t>Credits 商品、权益账本与支付状态模型已实现。</t>
  </si>
  <si>
    <t>继续保持产品价格与 Creem Dashboard 配置一致。</t>
  </si>
  <si>
    <t>apps/api/src/billing/credit-pack.config.ts；apps/api/src/credits</t>
  </si>
  <si>
    <t>本地测试 Checkout、Webhook、购买页和回跳页实现已具备；Creem Dashboard 最终证据与 Vercel 正式部署尚未完成。</t>
  </si>
  <si>
    <t>配置 Railway/Vercel 域名与 Creem webhook 后执行真实 Test Mode 全链路验证。</t>
  </si>
  <si>
    <t>apps/api/src/billing；apps/web/public/js/credits*.js；docs/auto-execute/world-credits/11-final-acceptance-report.md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</si>
</sst>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/d"/>
    <numFmt numFmtId="178" formatCode="\$0.0000"/>
  </numFmts>
  <fonts count="30">
    <font>
      <sz val="11"/>
      <name val="Carlito"/>
    </font>
    <font>
      <b/>
      <sz val="22"/>
      <color rgb="FFFFFFFF"/>
      <name val="Carlito"/>
    </font>
    <font>
      <sz val="10"/>
      <color rgb="FFFFFFFF"/>
      <name val="Carlito"/>
    </font>
    <font>
      <b/>
      <sz val="11"/>
      <color rgb="FF0F172A"/>
      <name val="Carlito"/>
    </font>
    <font>
      <b/>
      <sz val="21"/>
      <color rgb="FF7C3AED"/>
      <name val="Carlito"/>
    </font>
    <font>
      <b/>
      <sz val="21"/>
      <color rgb="FF10B981"/>
      <name val="Carlito"/>
    </font>
    <font>
      <b/>
      <sz val="21"/>
      <color rgb="FF06B6D4"/>
      <name val="Carlito"/>
    </font>
    <font>
      <b/>
      <sz val="21"/>
      <color rgb="FFEF4444"/>
      <name val="Carlito"/>
    </font>
    <font>
      <b/>
      <sz val="21"/>
      <color rgb="FFF59E0B"/>
      <name val="Carlito"/>
    </font>
    <font>
      <b/>
      <sz val="10"/>
      <color rgb="FF0F172A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sz val="10"/>
      <color rgb="FF0F172A"/>
      <name val="Carlito"/>
    </font>
    <font>
      <b/>
      <sz val="10"/>
      <color rgb="FF92400E"/>
      <name val="Carlito"/>
    </font>
    <font>
      <b/>
      <sz val="20"/>
      <color rgb="FFFFFFFF"/>
      <name val="Carlito"/>
    </font>
    <font>
      <sz val="10"/>
      <color rgb="FF4C1D95"/>
      <name val="Carlito"/>
    </font>
    <font>
      <b/>
      <sz val="10"/>
      <color rgb="FFFFFFFF"/>
      <name val="Carlito"/>
    </font>
    <font>
      <sz val="9"/>
      <color rgb="FF0F172A"/>
      <name val="Carlito"/>
    </font>
    <font>
      <b/>
      <sz val="19"/>
      <color rgb="FFFFFFFF"/>
      <name val="Carlito"/>
    </font>
    <font>
      <sz val="11"/>
      <color rgb="FF155E75"/>
      <name val="Carlito"/>
    </font>
    <font>
      <b/>
      <sz val="11"/>
      <color rgb="FF991B1B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0"/>
      <name val="Carlito"/>
    </font>
    <font>
      <i/>
      <sz val="9"/>
      <color rgb="FF475569"/>
      <name val="Carlito"/>
    </font>
    <font>
      <sz val="10"/>
      <color rgb="FF6D28D9"/>
      <name val="Carlito"/>
    </font>
    <font>
      <b/>
      <sz val="12"/>
      <color rgb="FFFFFFFF"/>
      <name val="Carlito"/>
    </font>
    <font>
      <b/>
      <sz val="18"/>
      <color rgb="FF0F172A"/>
      <name val="Carlito"/>
    </font>
    <font>
      <sz val="11"/>
      <color theme="10"/>
      <name val="Carlito"/>
      <family val="2"/>
    </font>
    <font>
      <sz val="11"/>
      <color theme="10"/>
      <name val="微软雅黑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CFFAFE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F5F3FF"/>
      </patternFill>
    </fill>
    <fill>
      <patternFill patternType="solid">
        <fgColor rgb="FF334155"/>
      </patternFill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1" fillId="0" borderId="0"/>
    <xf numFmtId="0" fontId="23" fillId="0" borderId="0" applyNumberFormat="0" applyFill="0" applyBorder="0" applyAlignment="0" applyProtection="0"/>
  </cellStyleXfs>
  <cellXfs count="49">
    <xf numFmtId="0" fontId="0" fillId="0" borderId="0" xfId="0"/>
    <xf numFmtId="176" fontId="3" fillId="4" borderId="0" xfId="1" applyNumberFormat="1" applyFont="1" applyFill="1" applyAlignment="1">
      <alignment horizontal="center"/>
    </xf>
    <xf numFmtId="176" fontId="3" fillId="6" borderId="0" xfId="1" applyNumberFormat="1" applyFont="1" applyFill="1" applyAlignment="1">
      <alignment horizontal="center"/>
    </xf>
    <xf numFmtId="0" fontId="11" fillId="3" borderId="0" xfId="1" applyFont="1" applyFill="1" applyAlignment="1">
      <alignment horizontal="center" vertical="center"/>
    </xf>
    <xf numFmtId="0" fontId="12" fillId="11" borderId="0" xfId="1" applyFont="1" applyFill="1" applyAlignment="1">
      <alignment vertical="center"/>
    </xf>
    <xf numFmtId="0" fontId="12" fillId="11" borderId="0" xfId="1" applyFont="1" applyFill="1" applyAlignment="1">
      <alignment horizontal="center" vertical="center"/>
    </xf>
    <xf numFmtId="9" fontId="12" fillId="11" borderId="0" xfId="1" applyNumberFormat="1" applyFont="1" applyFill="1" applyAlignment="1">
      <alignment horizontal="center" vertical="center"/>
    </xf>
    <xf numFmtId="177" fontId="12" fillId="11" borderId="0" xfId="1" applyNumberFormat="1" applyFont="1" applyFill="1" applyAlignment="1">
      <alignment vertical="center"/>
    </xf>
    <xf numFmtId="0" fontId="16" fillId="3" borderId="0" xfId="1" applyFont="1" applyFill="1" applyAlignment="1">
      <alignment horizontal="center" vertical="center" wrapText="1"/>
    </xf>
    <xf numFmtId="0" fontId="17" fillId="11" borderId="0" xfId="1" applyFont="1" applyFill="1" applyAlignment="1">
      <alignment vertical="center" wrapText="1"/>
    </xf>
    <xf numFmtId="0" fontId="17" fillId="11" borderId="0" xfId="1" applyFont="1" applyFill="1" applyAlignment="1">
      <alignment horizontal="center" vertical="center" wrapText="1"/>
    </xf>
    <xf numFmtId="0" fontId="23" fillId="11" borderId="0" xfId="2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77" fontId="17" fillId="11" borderId="0" xfId="0" applyNumberFormat="1" applyFont="1" applyFill="1" applyAlignment="1">
      <alignment horizontal="center" vertical="center" wrapText="1"/>
    </xf>
    <xf numFmtId="177" fontId="17" fillId="0" borderId="0" xfId="0" applyNumberFormat="1" applyFont="1" applyAlignment="1">
      <alignment horizontal="center" vertical="center" wrapText="1"/>
    </xf>
    <xf numFmtId="9" fontId="17" fillId="11" borderId="0" xfId="0" applyNumberFormat="1" applyFont="1" applyFill="1" applyAlignment="1">
      <alignment horizontal="center" vertical="center" wrapText="1"/>
    </xf>
    <xf numFmtId="9" fontId="1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12" fillId="11" borderId="0" xfId="0" applyNumberFormat="1" applyFont="1" applyFill="1" applyAlignment="1">
      <alignment horizontal="center" vertical="center"/>
    </xf>
    <xf numFmtId="9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178" fontId="17" fillId="0" borderId="0" xfId="0" applyNumberFormat="1" applyFont="1" applyAlignment="1">
      <alignment horizontal="center" vertical="center" wrapText="1"/>
    </xf>
    <xf numFmtId="0" fontId="27" fillId="12" borderId="0" xfId="0" applyFont="1" applyFill="1" applyAlignment="1">
      <alignment horizontal="center"/>
    </xf>
    <xf numFmtId="9" fontId="27" fillId="12" borderId="0" xfId="0" applyNumberFormat="1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18" fillId="2" borderId="0" xfId="1" applyFont="1" applyFill="1" applyAlignment="1">
      <alignment horizontal="center" vertical="center"/>
    </xf>
    <xf numFmtId="0" fontId="19" fillId="9" borderId="0" xfId="1" applyFont="1" applyFill="1" applyAlignment="1">
      <alignment wrapText="1"/>
    </xf>
    <xf numFmtId="0" fontId="9" fillId="0" borderId="0" xfId="1" applyFont="1" applyAlignment="1">
      <alignment horizontal="center"/>
    </xf>
    <xf numFmtId="0" fontId="24" fillId="12" borderId="0" xfId="0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9" fontId="8" fillId="4" borderId="0" xfId="1" applyNumberFormat="1" applyFont="1" applyFill="1" applyAlignment="1">
      <alignment horizontal="center" vertical="center"/>
    </xf>
    <xf numFmtId="0" fontId="10" fillId="2" borderId="0" xfId="1" applyFont="1" applyFill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5" fillId="7" borderId="0" xfId="1" applyFont="1" applyFill="1" applyAlignment="1">
      <alignment horizontal="left" vertical="center"/>
    </xf>
    <xf numFmtId="0" fontId="20" fillId="10" borderId="0" xfId="1" applyFont="1" applyFill="1" applyAlignment="1">
      <alignment horizontal="center"/>
    </xf>
    <xf numFmtId="0" fontId="14" fillId="13" borderId="0" xfId="0" applyFont="1" applyFill="1" applyAlignment="1">
      <alignment horizontal="center" vertical="center"/>
    </xf>
    <xf numFmtId="0" fontId="25" fillId="14" borderId="0" xfId="0" applyFont="1" applyFill="1" applyAlignment="1">
      <alignment vertical="center" wrapText="1"/>
    </xf>
    <xf numFmtId="0" fontId="26" fillId="16" borderId="0" xfId="0" applyFont="1" applyFill="1"/>
    <xf numFmtId="0" fontId="26" fillId="13" borderId="0" xfId="0" applyFont="1" applyFill="1"/>
    <xf numFmtId="0" fontId="11" fillId="15" borderId="0" xfId="0" applyFont="1" applyFill="1" applyAlignment="1">
      <alignment horizontal="center"/>
    </xf>
  </cellXfs>
  <cellStyles count="3">
    <cellStyle name="Normal" xfId="1" xr:uid="{00000000-0005-0000-0000-000000000000}"/>
    <cellStyle name="常规" xfId="0" builtinId="0"/>
    <cellStyle name="超链接" xfId="2" xr:uid="{00000000-0005-0000-0000-000002000000}"/>
  </cellStyles>
  <dxfs count="69"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6D28D9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6D28D9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6D28D9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475569"/>
      </font>
      <fill>
        <patternFill>
          <bgColor rgb="FFE2E8F0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6D28D9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334155"/>
      </font>
      <fill>
        <patternFill>
          <bgColor rgb="FFE2E8F0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55E75"/>
      </font>
      <fill>
        <patternFill>
          <bgColor rgb="FFCFFA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334155"/>
      </font>
      <fill>
        <patternFill>
          <bgColor rgb="FFE2E8F0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完成率</c:v>
          </c:tx>
          <c:invertIfNegative val="1"/>
          <c:cat>
            <c:strRef>
              <c:f>总览!$A$14:$A$19</c:f>
              <c:strCache>
                <c:ptCount val="6"/>
                <c:pt idx="0">
                  <c:v>产品开发与上线</c:v>
                </c:pt>
                <c:pt idx="1">
                  <c:v>产品付费与审核</c:v>
                </c:pt>
                <c:pt idx="2">
                  <c:v>产品推广与内容</c:v>
                </c:pt>
                <c:pt idx="3">
                  <c:v>用户测试与运营</c:v>
                </c:pt>
                <c:pt idx="4">
                  <c:v>品牌与账号基础</c:v>
                </c:pt>
                <c:pt idx="5">
                  <c:v>合规与风险</c:v>
                </c:pt>
              </c:strCache>
            </c:strRef>
          </c:cat>
          <c:val>
            <c:numRef>
              <c:f>总览!$F$14:$F$19</c:f>
              <c:numCache>
                <c:formatCode>0%</c:formatCode>
                <c:ptCount val="6"/>
                <c:pt idx="0">
                  <c:v>0.17647058823529413</c:v>
                </c:pt>
                <c:pt idx="1">
                  <c:v>0.5</c:v>
                </c:pt>
                <c:pt idx="2">
                  <c:v>0.19047619047619047</c:v>
                </c:pt>
                <c:pt idx="3">
                  <c:v>0</c:v>
                </c:pt>
                <c:pt idx="4">
                  <c:v>0.91666666666666663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3-4179-955A-BFCB7C86F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完成率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完成率</c:v>
          </c:tx>
          <c:marker>
            <c:symbol val="none"/>
          </c:marker>
          <c:cat>
            <c:strRef>
              <c:f>总览!$H$14:$H$20</c:f>
              <c:strCache>
                <c:ptCount val="7"/>
                <c:pt idx="0">
                  <c:v>第1天</c:v>
                </c:pt>
                <c:pt idx="1">
                  <c:v>第2天</c:v>
                </c:pt>
                <c:pt idx="2">
                  <c:v>第3天</c:v>
                </c:pt>
                <c:pt idx="3">
                  <c:v>第4天</c:v>
                </c:pt>
                <c:pt idx="4">
                  <c:v>第5天</c:v>
                </c:pt>
                <c:pt idx="5">
                  <c:v>第6天</c:v>
                </c:pt>
                <c:pt idx="6">
                  <c:v>第7天</c:v>
                </c:pt>
              </c:strCache>
            </c:strRef>
          </c:cat>
          <c:val>
            <c:numRef>
              <c:f>总览!$M$14:$M$20</c:f>
              <c:numCache>
                <c:formatCode>0%</c:formatCode>
                <c:ptCount val="7"/>
                <c:pt idx="0">
                  <c:v>0.72222222222222221</c:v>
                </c:pt>
                <c:pt idx="1">
                  <c:v>0.5</c:v>
                </c:pt>
                <c:pt idx="2">
                  <c:v>0.05</c:v>
                </c:pt>
                <c:pt idx="3">
                  <c:v>5.5555555555555552E-2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AC-4D2E-AE11-DEE135B6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完成率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unchTasksTable" displayName="LaunchTasksTable" ref="A4:P56">
  <tableColumns count="16">
    <tableColumn id="1" xr3:uid="{00000000-0010-0000-0000-000001000000}" name="编号"/>
    <tableColumn id="2" xr3:uid="{00000000-0010-0000-0000-000002000000}" name="天数"/>
    <tableColumn id="3" xr3:uid="{00000000-0010-0000-0000-000003000000}" name="日期"/>
    <tableColumn id="4" xr3:uid="{00000000-0010-0000-0000-000004000000}" name="分类"/>
    <tableColumn id="5" xr3:uid="{00000000-0010-0000-0000-000005000000}" name="任务"/>
    <tableColumn id="6" xr3:uid="{00000000-0010-0000-0000-000006000000}" name="交付/完成标准"/>
    <tableColumn id="7" xr3:uid="{00000000-0010-0000-0000-000007000000}" name="优先级"/>
    <tableColumn id="8" xr3:uid="{00000000-0010-0000-0000-000008000000}" name="状态"/>
    <tableColumn id="9" xr3:uid="{00000000-0010-0000-0000-000009000000}" name="自动进度"/>
    <tableColumn id="10" xr3:uid="{00000000-0010-0000-0000-00000A000000}" name="外部依赖/等待对象"/>
    <tableColumn id="11" xr3:uid="{00000000-0010-0000-0000-00000B000000}" name="负责人"/>
    <tableColumn id="12" xr3:uid="{00000000-0010-0000-0000-00000C000000}" name="截止日"/>
    <tableColumn id="13" xr3:uid="{00000000-0010-0000-0000-00000D000000}" name="实际完成日"/>
    <tableColumn id="14" xr3:uid="{00000000-0010-0000-0000-00000E000000}" name="卡点/问题"/>
    <tableColumn id="15" xr3:uid="{00000000-0010-0000-0000-00000F000000}" name="下一步动作"/>
    <tableColumn id="16" xr3:uid="{00000000-0010-0000-0000-000010000000}" name="链接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ternalDependenciesTable" displayName="ExternalDependenciesTable" ref="A4:J18">
  <tableColumns count="10">
    <tableColumn id="1" xr3:uid="{00000000-0010-0000-0100-000001000000}" name="类型"/>
    <tableColumn id="2" xr3:uid="{00000000-0010-0000-0100-000002000000}" name="平台/事项"/>
    <tableColumn id="3" xr3:uid="{00000000-0010-0000-0100-000003000000}" name="用途"/>
    <tableColumn id="4" xr3:uid="{00000000-0010-0000-0100-000004000000}" name="目标用户名/名称"/>
    <tableColumn id="5" xr3:uid="{00000000-0010-0000-0100-000005000000}" name="注册状态"/>
    <tableColumn id="6" xr3:uid="{00000000-0010-0000-0100-000006000000}" name="资料完善"/>
    <tableColumn id="7" xr3:uid="{00000000-0010-0000-0100-000007000000}" name="审核状态"/>
    <tableColumn id="8" xr3:uid="{00000000-0010-0000-0100-000008000000}" name="URL/入口"/>
    <tableColumn id="9" xr3:uid="{00000000-0010-0000-0100-000009000000}" name="下一步"/>
    <tableColumn id="10" xr3:uid="{00000000-0010-0000-0100-00000A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unchChecklistTable" displayName="LaunchChecklistTable" ref="A4:H22">
  <tableColumns count="8">
    <tableColumn id="1" xr3:uid="{00000000-0010-0000-0200-000001000000}" name="分类"/>
    <tableColumn id="2" xr3:uid="{00000000-0010-0000-0200-000002000000}" name="验收项"/>
    <tableColumn id="3" xr3:uid="{00000000-0010-0000-0200-000003000000}" name="完成标准"/>
    <tableColumn id="4" xr3:uid="{00000000-0010-0000-0200-000004000000}" name="是否必须"/>
    <tableColumn id="5" xr3:uid="{00000000-0010-0000-0200-000005000000}" name="状态"/>
    <tableColumn id="6" xr3:uid="{00000000-0010-0000-0200-000006000000}" name="证据/链接"/>
    <tableColumn id="7" xr3:uid="{00000000-0010-0000-0200-000007000000}" name="负责人"/>
    <tableColumn id="8" xr3:uid="{00000000-0010-0000-02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A23" zoomScaleNormal="100" workbookViewId="0">
      <selection activeCell="O1" sqref="A1:XFD41"/>
    </sheetView>
  </sheetViews>
  <sheetFormatPr defaultRowHeight="13.5"/>
  <cols>
    <col min="1" max="1" width="22" customWidth="1"/>
    <col min="2" max="2" width="10" customWidth="1"/>
    <col min="3" max="3" width="12" customWidth="1"/>
    <col min="4" max="4" width="14" customWidth="1"/>
    <col min="5" max="5" width="16" customWidth="1"/>
    <col min="6" max="12" width="12" customWidth="1"/>
    <col min="13" max="13" width="14" customWidth="1"/>
    <col min="14" max="14" width="22" customWidth="1"/>
  </cols>
  <sheetData>
    <row r="1" spans="1:14" ht="20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0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0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/>
    <row r="5" spans="1:14" ht="20" customHeight="1">
      <c r="A5" s="33" t="s">
        <v>2</v>
      </c>
      <c r="B5" s="33"/>
      <c r="C5" s="1">
        <v>46215</v>
      </c>
      <c r="E5" s="33" t="s">
        <v>3</v>
      </c>
      <c r="F5" s="33"/>
      <c r="G5" s="2">
        <f>C5+6</f>
        <v>46221</v>
      </c>
      <c r="I5" s="33" t="s">
        <v>4</v>
      </c>
      <c r="J5" s="33"/>
      <c r="K5" s="26">
        <f ca="1">MAX(1,MIN(7,TODAY()-C5+1))</f>
        <v>5</v>
      </c>
      <c r="M5" s="33" t="s">
        <v>5</v>
      </c>
      <c r="N5" s="33"/>
    </row>
    <row r="6" spans="1:14" ht="20" customHeight="1"/>
    <row r="7" spans="1:14" ht="20" customHeight="1">
      <c r="A7" s="34">
        <f>COUNTA('7天任务'!E5:E200)</f>
        <v>72</v>
      </c>
      <c r="B7" s="34"/>
      <c r="C7" s="35">
        <f>COUNTIF('7天任务'!H5:H200,"已完成")</f>
        <v>18</v>
      </c>
      <c r="D7" s="35"/>
      <c r="E7" s="36">
        <f>COUNTIF('7天任务'!H5:H200,"进行中")+COUNTIF('7天任务'!H5:H200,"待审核")</f>
        <v>5</v>
      </c>
      <c r="F7" s="36"/>
      <c r="G7" s="37">
        <f>COUNTIF('7天任务'!H5:H200,"已阻塞")</f>
        <v>0</v>
      </c>
      <c r="H7" s="37"/>
      <c r="I7" s="38">
        <f>IFERROR(AVERAGE('7天任务'!I5:I200),0)</f>
        <v>0.28472222222222221</v>
      </c>
      <c r="J7" s="38"/>
    </row>
    <row r="8" spans="1:14" ht="20" customHeight="1">
      <c r="A8" s="34"/>
      <c r="B8" s="34"/>
      <c r="C8" s="35"/>
      <c r="D8" s="35"/>
      <c r="E8" s="36"/>
      <c r="F8" s="36"/>
      <c r="G8" s="37"/>
      <c r="H8" s="37"/>
      <c r="I8" s="38"/>
      <c r="J8" s="38"/>
    </row>
    <row r="9" spans="1:14" ht="20" customHeight="1">
      <c r="A9" s="34"/>
      <c r="B9" s="34"/>
      <c r="C9" s="35"/>
      <c r="D9" s="35"/>
      <c r="E9" s="36"/>
      <c r="F9" s="36"/>
      <c r="G9" s="37"/>
      <c r="H9" s="37"/>
      <c r="I9" s="38"/>
      <c r="J9" s="38"/>
    </row>
    <row r="10" spans="1:14" ht="20" customHeight="1">
      <c r="A10" s="29" t="s">
        <v>6</v>
      </c>
      <c r="B10" s="29"/>
      <c r="C10" s="29" t="s">
        <v>7</v>
      </c>
      <c r="D10" s="29"/>
      <c r="E10" s="29" t="s">
        <v>8</v>
      </c>
      <c r="F10" s="29"/>
      <c r="G10" s="29" t="s">
        <v>9</v>
      </c>
      <c r="H10" s="29"/>
      <c r="I10" s="29" t="s">
        <v>10</v>
      </c>
      <c r="J10" s="29"/>
    </row>
    <row r="11" spans="1:14" ht="20" customHeight="1"/>
    <row r="12" spans="1:14" ht="20" customHeight="1">
      <c r="A12" s="39" t="s">
        <v>11</v>
      </c>
      <c r="B12" s="39"/>
      <c r="C12" s="39"/>
      <c r="D12" s="39"/>
      <c r="E12" s="39"/>
      <c r="F12" s="39"/>
      <c r="H12" s="39" t="s">
        <v>12</v>
      </c>
      <c r="I12" s="39"/>
      <c r="J12" s="39"/>
      <c r="K12" s="39"/>
      <c r="L12" s="39"/>
      <c r="M12" s="39"/>
    </row>
    <row r="13" spans="1:14" ht="20" customHeight="1">
      <c r="A13" s="3" t="s">
        <v>13</v>
      </c>
      <c r="B13" s="3" t="s">
        <v>14</v>
      </c>
      <c r="C13" s="3" t="s">
        <v>7</v>
      </c>
      <c r="D13" s="3" t="s">
        <v>15</v>
      </c>
      <c r="E13" s="3" t="s">
        <v>9</v>
      </c>
      <c r="F13" s="3" t="s">
        <v>16</v>
      </c>
      <c r="H13" s="3" t="s">
        <v>17</v>
      </c>
      <c r="I13" s="3" t="s">
        <v>18</v>
      </c>
      <c r="J13" s="3" t="s">
        <v>14</v>
      </c>
      <c r="K13" s="3" t="s">
        <v>7</v>
      </c>
      <c r="L13" s="3" t="s">
        <v>9</v>
      </c>
      <c r="M13" s="3" t="s">
        <v>16</v>
      </c>
    </row>
    <row r="14" spans="1:14" ht="20" customHeight="1">
      <c r="A14" s="4" t="s">
        <v>19</v>
      </c>
      <c r="B14" s="5">
        <f>COUNTIF('7天任务'!$D$5:$D$200,A14)</f>
        <v>17</v>
      </c>
      <c r="C14" s="5">
        <f>COUNTIFS('7天任务'!$D$5:$D$200,A14,'7天任务'!$H$5:$H$200,"已完成")</f>
        <v>2</v>
      </c>
      <c r="D14" s="5">
        <f>COUNTIFS('7天任务'!$D$5:$D$200,A14,'7天任务'!$H$5:$H$200,"进行中")+COUNTIFS('7天任务'!$D$5:$D$200,A14,'7天任务'!$H$5:$H$200,"待审核")</f>
        <v>2</v>
      </c>
      <c r="E14" s="5">
        <f>COUNTIFS('7天任务'!$D$5:$D$200,A14,'7天任务'!$H$5:$H$200,"已阻塞")</f>
        <v>0</v>
      </c>
      <c r="F14" s="19">
        <f>IFERROR(SUMIF('7天任务'!$D$5:$D$200,A14,'7天任务'!$I$5:$I$200)/COUNTIF('7天任务'!$D$5:$D$200,A14),0)</f>
        <v>0.17647058823529413</v>
      </c>
      <c r="H14" s="4" t="s">
        <v>20</v>
      </c>
      <c r="I14" s="7">
        <f>$C$5+0</f>
        <v>46215</v>
      </c>
      <c r="J14" s="5">
        <f>COUNTIF('7天任务'!$B$5:$B$200,1)</f>
        <v>18</v>
      </c>
      <c r="K14" s="5">
        <f>COUNTIFS('7天任务'!$B$5:$B$200,1,'7天任务'!$H$5:$H$200,"已完成")</f>
        <v>12</v>
      </c>
      <c r="L14" s="5">
        <f>COUNTIFS('7天任务'!$B$5:$B$200,1,'7天任务'!$H$5:$H$200,"已阻塞")</f>
        <v>0</v>
      </c>
      <c r="M14" s="6">
        <f>IFERROR(SUMIF('7天任务'!$B$5:$B$200,1,'7天任务'!$I$5:$I$200)/COUNTIF('7天任务'!$B$5:$B$200,1),0)</f>
        <v>0.72222222222222221</v>
      </c>
    </row>
    <row r="15" spans="1:14" ht="20" customHeight="1">
      <c r="A15" s="4" t="s">
        <v>21</v>
      </c>
      <c r="B15" s="5">
        <f>COUNTIF('7天任务'!$D$5:$D$200,A15)</f>
        <v>9</v>
      </c>
      <c r="C15" s="5">
        <f>COUNTIFS('7天任务'!$D$5:$D$200,A15,'7天任务'!$H$5:$H$200,"已完成")</f>
        <v>4</v>
      </c>
      <c r="D15" s="5">
        <f>COUNTIFS('7天任务'!$D$5:$D$200,A15,'7天任务'!$H$5:$H$200,"进行中")+COUNTIFS('7天任务'!$D$5:$D$200,A15,'7天任务'!$H$5:$H$200,"待审核")</f>
        <v>1</v>
      </c>
      <c r="E15" s="5">
        <f>COUNTIFS('7天任务'!$D$5:$D$200,A15,'7天任务'!$H$5:$H$200,"已阻塞")</f>
        <v>0</v>
      </c>
      <c r="F15" s="19">
        <f>IFERROR(SUMIF('7天任务'!$D$5:$D$200,A15,'7天任务'!$I$5:$I$200)/COUNTIF('7天任务'!$D$5:$D$200,A15),0)</f>
        <v>0.5</v>
      </c>
      <c r="H15" s="4" t="s">
        <v>22</v>
      </c>
      <c r="I15" s="7">
        <f>$C$5+1</f>
        <v>46216</v>
      </c>
      <c r="J15" s="5">
        <f>COUNTIF('7天任务'!$B$5:$B$200,2)</f>
        <v>13</v>
      </c>
      <c r="K15" s="5">
        <f>COUNTIFS('7天任务'!$B$5:$B$200,2,'7天任务'!$H$5:$H$200,"已完成")</f>
        <v>6</v>
      </c>
      <c r="L15" s="5">
        <f>COUNTIFS('7天任务'!$B$5:$B$200,2,'7天任务'!$H$5:$H$200,"已阻塞")</f>
        <v>0</v>
      </c>
      <c r="M15" s="6">
        <f>IFERROR(SUMIF('7天任务'!$B$5:$B$200,2,'7天任务'!$I$5:$I$200)/COUNTIF('7天任务'!$B$5:$B$200,2),0)</f>
        <v>0.5</v>
      </c>
    </row>
    <row r="16" spans="1:14" ht="20" customHeight="1">
      <c r="A16" s="4" t="s">
        <v>23</v>
      </c>
      <c r="B16" s="5">
        <f>COUNTIF('7天任务'!$D$5:$D$200,A16)</f>
        <v>21</v>
      </c>
      <c r="C16" s="5">
        <f>COUNTIFS('7天任务'!$D$5:$D$200,A16,'7天任务'!$H$5:$H$200,"已完成")</f>
        <v>4</v>
      </c>
      <c r="D16" s="5">
        <f>COUNTIFS('7天任务'!$D$5:$D$200,A16,'7天任务'!$H$5:$H$200,"进行中")+COUNTIFS('7天任务'!$D$5:$D$200,A16,'7天任务'!$H$5:$H$200,"待审核")</f>
        <v>0</v>
      </c>
      <c r="E16" s="5">
        <f>COUNTIFS('7天任务'!$D$5:$D$200,A16,'7天任务'!$H$5:$H$200,"已阻塞")</f>
        <v>0</v>
      </c>
      <c r="F16" s="19">
        <f>IFERROR(SUMIF('7天任务'!$D$5:$D$200,A16,'7天任务'!$I$5:$I$200)/COUNTIF('7天任务'!$D$5:$D$200,A16),0)</f>
        <v>0.19047619047619047</v>
      </c>
      <c r="H16" s="4" t="s">
        <v>24</v>
      </c>
      <c r="I16" s="7">
        <f>$C$5+2</f>
        <v>46217</v>
      </c>
      <c r="J16" s="5">
        <f>COUNTIF('7天任务'!$B$5:$B$200,3)</f>
        <v>10</v>
      </c>
      <c r="K16" s="5">
        <f>COUNTIFS('7天任务'!$B$5:$B$200,3,'7天任务'!$H$5:$H$200,"已完成")</f>
        <v>0</v>
      </c>
      <c r="L16" s="5">
        <f>COUNTIFS('7天任务'!$B$5:$B$200,3,'7天任务'!$H$5:$H$200,"已阻塞")</f>
        <v>0</v>
      </c>
      <c r="M16" s="6">
        <f>IFERROR(SUMIF('7天任务'!$B$5:$B$200,3,'7天任务'!$I$5:$I$200)/COUNTIF('7天任务'!$B$5:$B$200,3),0)</f>
        <v>0.05</v>
      </c>
    </row>
    <row r="17" spans="1:14" ht="20" customHeight="1">
      <c r="A17" s="4" t="s">
        <v>25</v>
      </c>
      <c r="B17" s="5">
        <f>COUNTIF('7天任务'!$D$5:$D$200,A17)</f>
        <v>8</v>
      </c>
      <c r="C17" s="5">
        <f>COUNTIFS('7天任务'!$D$5:$D$200,A17,'7天任务'!$H$5:$H$200,"已完成")</f>
        <v>0</v>
      </c>
      <c r="D17" s="5">
        <f>COUNTIFS('7天任务'!$D$5:$D$200,A17,'7天任务'!$H$5:$H$200,"进行中")+COUNTIFS('7天任务'!$D$5:$D$200,A17,'7天任务'!$H$5:$H$200,"待审核")</f>
        <v>0</v>
      </c>
      <c r="E17" s="5">
        <f>COUNTIFS('7天任务'!$D$5:$D$200,A17,'7天任务'!$H$5:$H$200,"已阻塞")</f>
        <v>0</v>
      </c>
      <c r="F17" s="19">
        <f>IFERROR(SUMIF('7天任务'!$D$5:$D$200,A17,'7天任务'!$I$5:$I$200)/COUNTIF('7天任务'!$D$5:$D$200,A17),0)</f>
        <v>0</v>
      </c>
      <c r="H17" s="4" t="s">
        <v>26</v>
      </c>
      <c r="I17" s="7">
        <f>$C$5+3</f>
        <v>46218</v>
      </c>
      <c r="J17" s="5">
        <f>COUNTIF('7天任务'!$B$5:$B$200,4)</f>
        <v>9</v>
      </c>
      <c r="K17" s="5">
        <f>COUNTIFS('7天任务'!$B$5:$B$200,4,'7天任务'!$H$5:$H$200,"已完成")</f>
        <v>0</v>
      </c>
      <c r="L17" s="5">
        <f>COUNTIFS('7天任务'!$B$5:$B$200,4,'7天任务'!$H$5:$H$200,"已阻塞")</f>
        <v>0</v>
      </c>
      <c r="M17" s="6">
        <f>IFERROR(SUMIF('7天任务'!$B$5:$B$200,4,'7天任务'!$I$5:$I$200)/COUNTIF('7天任务'!$B$5:$B$200,4),0)</f>
        <v>5.5555555555555552E-2</v>
      </c>
    </row>
    <row r="18" spans="1:14" ht="20" customHeight="1">
      <c r="A18" s="4" t="s">
        <v>27</v>
      </c>
      <c r="B18" s="5">
        <f>COUNTIF('7天任务'!$D$5:$D$200,A18)</f>
        <v>6</v>
      </c>
      <c r="C18" s="5">
        <f>COUNTIFS('7天任务'!$D$5:$D$200,A18,'7天任务'!$H$5:$H$200,"已完成")</f>
        <v>5</v>
      </c>
      <c r="D18" s="5">
        <f>COUNTIFS('7天任务'!$D$5:$D$200,A18,'7天任务'!$H$5:$H$200,"进行中")+COUNTIFS('7天任务'!$D$5:$D$200,A18,'7天任务'!$H$5:$H$200,"待审核")</f>
        <v>1</v>
      </c>
      <c r="E18" s="5">
        <f>COUNTIFS('7天任务'!$D$5:$D$200,A18,'7天任务'!$H$5:$H$200,"已阻塞")</f>
        <v>0</v>
      </c>
      <c r="F18" s="19">
        <f>IFERROR(SUMIF('7天任务'!$D$5:$D$200,A18,'7天任务'!$I$5:$I$200)/COUNTIF('7天任务'!$D$5:$D$200,A18),0)</f>
        <v>0.91666666666666663</v>
      </c>
      <c r="H18" s="4" t="s">
        <v>28</v>
      </c>
      <c r="I18" s="7">
        <f>$C$5+4</f>
        <v>46219</v>
      </c>
      <c r="J18" s="5">
        <f>COUNTIF('7天任务'!$B$5:$B$200,5)</f>
        <v>8</v>
      </c>
      <c r="K18" s="5">
        <f>COUNTIFS('7天任务'!$B$5:$B$200,5,'7天任务'!$H$5:$H$200,"已完成")</f>
        <v>0</v>
      </c>
      <c r="L18" s="5">
        <f>COUNTIFS('7天任务'!$B$5:$B$200,5,'7天任务'!$H$5:$H$200,"已阻塞")</f>
        <v>0</v>
      </c>
      <c r="M18" s="6">
        <f>IFERROR(SUMIF('7天任务'!$B$5:$B$200,5,'7天任务'!$I$5:$I$200)/COUNTIF('7天任务'!$B$5:$B$200,5),0)</f>
        <v>0</v>
      </c>
    </row>
    <row r="19" spans="1:14" ht="20" customHeight="1">
      <c r="A19" s="4" t="s">
        <v>29</v>
      </c>
      <c r="B19" s="5">
        <f>COUNTIF('7天任务'!$D$5:$D$200,A19)</f>
        <v>4</v>
      </c>
      <c r="C19" s="5">
        <f>COUNTIFS('7天任务'!$D$5:$D$200,A19,'7天任务'!$H$5:$H$200,"已完成")</f>
        <v>3</v>
      </c>
      <c r="D19" s="5">
        <f>COUNTIFS('7天任务'!$D$5:$D$200,A19,'7天任务'!$H$5:$H$200,"进行中")+COUNTIFS('7天任务'!$D$5:$D$200,A19,'7天任务'!$H$5:$H$200,"待审核")</f>
        <v>0</v>
      </c>
      <c r="E19" s="5">
        <f>COUNTIFS('7天任务'!$D$5:$D$200,A19,'7天任务'!$H$5:$H$200,"已阻塞")</f>
        <v>0</v>
      </c>
      <c r="F19" s="19">
        <f>IFERROR(SUMIF('7天任务'!$D$5:$D$200,A19,'7天任务'!$I$5:$I$200)/COUNTIF('7天任务'!$D$5:$D$200,A19),0)</f>
        <v>0.75</v>
      </c>
      <c r="H19" s="4" t="s">
        <v>30</v>
      </c>
      <c r="I19" s="7">
        <f>$C$5+5</f>
        <v>46220</v>
      </c>
      <c r="J19" s="5">
        <f>COUNTIF('7天任务'!$B$5:$B$200,6)</f>
        <v>7</v>
      </c>
      <c r="K19" s="5">
        <f>COUNTIFS('7天任务'!$B$5:$B$200,6,'7天任务'!$H$5:$H$200,"已完成")</f>
        <v>0</v>
      </c>
      <c r="L19" s="5">
        <f>COUNTIFS('7天任务'!$B$5:$B$200,6,'7天任务'!$H$5:$H$200,"已阻塞")</f>
        <v>0</v>
      </c>
      <c r="M19" s="6">
        <f>IFERROR(SUMIF('7天任务'!$B$5:$B$200,6,'7天任务'!$I$5:$I$200)/COUNTIF('7天任务'!$B$5:$B$200,6),0)</f>
        <v>0</v>
      </c>
    </row>
    <row r="20" spans="1:14" ht="20" customHeight="1">
      <c r="A20" s="18" t="s">
        <v>31</v>
      </c>
      <c r="B20" s="18">
        <f>COUNTIF('7天任务'!$D$5:$D$200,A20)</f>
        <v>3</v>
      </c>
      <c r="C20" s="18">
        <f>COUNTIFS('7天任务'!$D$5:$D$200,A20,'7天任务'!$H$5:$H$200,"已完成")</f>
        <v>0</v>
      </c>
      <c r="D20" s="18">
        <f>COUNTIFS('7天任务'!$D$5:$D$200,A20,'7天任务'!$H$5:$H$200,"进行中")+COUNTIFS('7天任务'!$D$5:$D$200,A20,'7天任务'!$H$5:$H$200,"待审核")</f>
        <v>0</v>
      </c>
      <c r="E20" s="18">
        <f>COUNTIFS('7天任务'!$D$5:$D$200,A20,'7天任务'!$H$5:$H$200,"已阻塞")</f>
        <v>0</v>
      </c>
      <c r="F20" s="20">
        <f>IFERROR(SUMIF('7天任务'!$D$5:$D$200,A20,'7天任务'!$I$5:$I$200)/COUNTIF('7天任务'!$D$5:$D$200,A20),0)</f>
        <v>0</v>
      </c>
      <c r="H20" s="4" t="s">
        <v>32</v>
      </c>
      <c r="I20" s="7">
        <f>$C$5+6</f>
        <v>46221</v>
      </c>
      <c r="J20" s="5">
        <f>COUNTIF('7天任务'!$B$5:$B$200,7)</f>
        <v>7</v>
      </c>
      <c r="K20" s="5">
        <f>COUNTIFS('7天任务'!$B$5:$B$200,7,'7天任务'!$H$5:$H$200,"已完成")</f>
        <v>0</v>
      </c>
      <c r="L20" s="5">
        <f>COUNTIFS('7天任务'!$B$5:$B$200,7,'7天任务'!$H$5:$H$200,"已阻塞")</f>
        <v>0</v>
      </c>
      <c r="M20" s="6">
        <f>IFERROR(SUMIF('7天任务'!$B$5:$B$200,7,'7天任务'!$I$5:$I$200)/COUNTIF('7天任务'!$B$5:$B$200,7),0)</f>
        <v>0</v>
      </c>
    </row>
    <row r="21" spans="1:14" ht="20" customHeight="1">
      <c r="A21" s="18" t="s">
        <v>33</v>
      </c>
      <c r="B21" s="18">
        <f>COUNTIF('7天任务'!$D$5:$D$200,A21)</f>
        <v>4</v>
      </c>
      <c r="C21" s="18">
        <f>COUNTIFS('7天任务'!$D$5:$D$200,A21,'7天任务'!$H$5:$H$200,"已完成")</f>
        <v>0</v>
      </c>
      <c r="D21" s="18">
        <f>COUNTIFS('7天任务'!$D$5:$D$200,A21,'7天任务'!$H$5:$H$200,"进行中")+COUNTIFS('7天任务'!$D$5:$D$200,A21,'7天任务'!$H$5:$H$200,"待审核")</f>
        <v>1</v>
      </c>
      <c r="E21" s="18">
        <f>COUNTIFS('7天任务'!$D$5:$D$200,A21,'7天任务'!$H$5:$H$200,"已阻塞")</f>
        <v>0</v>
      </c>
      <c r="F21" s="20">
        <f>IFERROR(SUMIF('7天任务'!$D$5:$D$200,A21,'7天任务'!$I$5:$I$200)/COUNTIF('7天任务'!$D$5:$D$200,A21),0)</f>
        <v>0.125</v>
      </c>
    </row>
    <row r="22" spans="1:14" ht="20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ht="20" customHeight="1">
      <c r="A23" s="30" t="s">
        <v>34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4" ht="20" customHeight="1"/>
    <row r="25" spans="1:14" ht="20" customHeight="1"/>
    <row r="26" spans="1:14" ht="20" customHeight="1"/>
    <row r="27" spans="1:14" ht="20" customHeight="1"/>
    <row r="28" spans="1:14" ht="20" customHeight="1"/>
    <row r="29" spans="1:14" ht="20" customHeight="1"/>
    <row r="30" spans="1:14" ht="20" customHeight="1"/>
    <row r="31" spans="1:14" ht="20" customHeight="1"/>
    <row r="32" spans="1:14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</sheetData>
  <mergeCells count="20">
    <mergeCell ref="A7:B9"/>
    <mergeCell ref="C7:D9"/>
    <mergeCell ref="E7:F9"/>
    <mergeCell ref="G7:H9"/>
    <mergeCell ref="I7:J9"/>
    <mergeCell ref="A1:N2"/>
    <mergeCell ref="A3:N3"/>
    <mergeCell ref="A5:B5"/>
    <mergeCell ref="E5:F5"/>
    <mergeCell ref="I5:J5"/>
    <mergeCell ref="M5:N5"/>
    <mergeCell ref="C10:D10"/>
    <mergeCell ref="E10:F10"/>
    <mergeCell ref="G10:H10"/>
    <mergeCell ref="I10:J10"/>
    <mergeCell ref="A23:M23"/>
    <mergeCell ref="A12:F12"/>
    <mergeCell ref="H12:M12"/>
    <mergeCell ref="A22:N22"/>
    <mergeCell ref="A10:B10"/>
  </mergeCells>
  <phoneticPr fontId="22" type="noConversion"/>
  <conditionalFormatting sqref="F14:F19">
    <cfRule type="dataBar" priority="1">
      <dataBar>
        <cfvo type="min"/>
        <cfvo type="max"/>
        <color rgb="FF7C3AED"/>
      </dataBar>
    </cfRule>
    <cfRule type="dataBar" priority="3">
      <dataBar>
        <cfvo type="min"/>
        <cfvo type="max"/>
        <color rgb="FF7C3AED"/>
      </dataBar>
    </cfRule>
    <cfRule type="dataBar" priority="6">
      <dataBar>
        <cfvo type="min"/>
        <cfvo type="max"/>
        <color rgb="FF7C3AED"/>
      </dataBar>
    </cfRule>
    <cfRule type="dataBar" priority="9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{9BFB47AB-F48E-53DF-E161-4C924D031700}</x14:id>
        </ext>
      </extLst>
    </cfRule>
  </conditionalFormatting>
  <conditionalFormatting sqref="F14:F21">
    <cfRule type="dataBar" priority="5">
      <dataBar>
        <cfvo type="min"/>
        <cfvo type="max"/>
        <color rgb="FF7C3AED"/>
      </dataBar>
    </cfRule>
    <cfRule type="dataBar" priority="8">
      <dataBar>
        <cfvo type="min"/>
        <cfvo type="max"/>
        <color rgb="FF7C3AED"/>
      </dataBar>
    </cfRule>
    <cfRule type="dataBar" priority="10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{2FE62ADE-1986-CDEC-4750-BE507F5F80A4}</x14:id>
        </ext>
      </extLst>
    </cfRule>
  </conditionalFormatting>
  <conditionalFormatting sqref="M14:M20">
    <cfRule type="dataBar" priority="2">
      <dataBar>
        <cfvo type="min"/>
        <cfvo type="max"/>
        <color rgb="FF06B6D4"/>
      </dataBar>
    </cfRule>
    <cfRule type="dataBar" priority="4">
      <dataBar>
        <cfvo type="min"/>
        <cfvo type="max"/>
        <color rgb="FF06B6D4"/>
      </dataBar>
    </cfRule>
    <cfRule type="dataBar" priority="7">
      <dataBar>
        <cfvo type="min"/>
        <cfvo type="max"/>
        <color rgb="FF06B6D4"/>
      </dataBar>
    </cfRule>
    <cfRule type="dataBar" priority="11">
      <dataBar>
        <cfvo type="min"/>
        <cfvo type="max"/>
        <color rgb="FF06B6D4"/>
      </dataBar>
      <extLst>
        <ext xmlns:x14="http://schemas.microsoft.com/office/spreadsheetml/2009/9/main" uri="{B025F937-C7B1-47D3-B67F-A62EFF666E3E}">
          <x14:id>{02C9F090-9FCD-7F53-21E3-1999B91EEB3B}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B47AB-F48E-53DF-E161-4C924D031700}">
            <x14:dataBar>
              <x14:cfvo type="min"/>
              <x14:cfvo type="max"/>
              <x14:negativeFillColor auto="1"/>
              <x14:axisColor auto="1"/>
            </x14:dataBar>
          </x14:cfRule>
          <xm:sqref>F14:F19</xm:sqref>
        </x14:conditionalFormatting>
        <x14:conditionalFormatting xmlns:xm="http://schemas.microsoft.com/office/excel/2006/main">
          <x14:cfRule type="dataBar" id="{2FE62ADE-1986-CDEC-4750-BE507F5F80A4}">
            <x14:dataBar>
              <x14:cfvo type="min"/>
              <x14:cfvo type="max"/>
              <x14:negativeFillColor auto="1"/>
              <x14:axisColor auto="1"/>
            </x14:dataBar>
          </x14:cfRule>
          <xm:sqref>F14:F21</xm:sqref>
        </x14:conditionalFormatting>
        <x14:conditionalFormatting xmlns:xm="http://schemas.microsoft.com/office/excel/2006/main">
          <x14:cfRule type="dataBar" id="{02C9F090-9FCD-7F53-21E3-1999B91EEB3B}">
            <x14:dataBar>
              <x14:cfvo type="min"/>
              <x14:cfvo type="max"/>
              <x14:negativeFillColor auto="1"/>
              <x14:axisColor auto="1"/>
            </x14:dataBar>
          </x14:cfRule>
          <xm:sqref>M14:M20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tabSelected="1" topLeftCell="A61" zoomScaleNormal="100" workbookViewId="0">
      <selection activeCell="H58" sqref="H58"/>
    </sheetView>
  </sheetViews>
  <sheetFormatPr defaultRowHeight="13.5"/>
  <cols>
    <col min="1" max="2" width="7" customWidth="1"/>
    <col min="3" max="3" width="10" customWidth="1"/>
    <col min="4" max="4" width="18" customWidth="1"/>
    <col min="5" max="5" width="28" customWidth="1"/>
    <col min="6" max="6" width="40" customWidth="1"/>
    <col min="7" max="7" width="9" customWidth="1"/>
    <col min="8" max="9" width="11" customWidth="1"/>
    <col min="10" max="10" width="20" customWidth="1"/>
    <col min="11" max="12" width="10" customWidth="1"/>
    <col min="13" max="13" width="12" customWidth="1"/>
    <col min="14" max="15" width="28" customWidth="1"/>
    <col min="16" max="16" width="24" customWidth="1"/>
  </cols>
  <sheetData>
    <row r="1" spans="1:16" ht="8.5500000000000007" customHeight="1">
      <c r="A1" s="41" t="s">
        <v>35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0.050000000000001" customHeight="1">
      <c r="A3" s="42" t="s">
        <v>36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20" customHeight="1">
      <c r="A4" s="8" t="s">
        <v>37</v>
      </c>
      <c r="B4" s="8" t="s">
        <v>17</v>
      </c>
      <c r="C4" s="8" t="s">
        <v>18</v>
      </c>
      <c r="D4" s="8" t="s">
        <v>13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</row>
    <row r="5" spans="1:16" ht="20" customHeight="1">
      <c r="A5" s="10">
        <v>1</v>
      </c>
      <c r="B5" s="10">
        <v>1</v>
      </c>
      <c r="C5" s="14">
        <f>总览!$C$5+B5-1</f>
        <v>46215</v>
      </c>
      <c r="D5" s="10" t="s">
        <v>27</v>
      </c>
      <c r="E5" s="9" t="s">
        <v>50</v>
      </c>
      <c r="F5" s="9" t="s">
        <v>51</v>
      </c>
      <c r="G5" s="10" t="s">
        <v>52</v>
      </c>
      <c r="H5" s="10" t="s">
        <v>7</v>
      </c>
      <c r="I5" s="16">
        <f t="shared" ref="I5:I36" si="0">IF(H5="已完成",1,IF(H5="待审核",0.9,IF(H5="进行中",0.5,IF(H5="已阻塞",0.25,0))))</f>
        <v>1</v>
      </c>
      <c r="J5" s="10" t="s">
        <v>53</v>
      </c>
      <c r="K5" s="10" t="s">
        <v>54</v>
      </c>
      <c r="L5" s="14">
        <f t="shared" ref="L5:L36" si="1">C5</f>
        <v>46215</v>
      </c>
      <c r="M5" s="14">
        <v>46215</v>
      </c>
      <c r="N5" s="9"/>
      <c r="O5" s="9"/>
      <c r="P5" s="9"/>
    </row>
    <row r="6" spans="1:16" ht="20" customHeight="1">
      <c r="A6" s="10">
        <v>2</v>
      </c>
      <c r="B6" s="10">
        <v>1</v>
      </c>
      <c r="C6" s="14">
        <f>总览!$C$5+B6-1</f>
        <v>46215</v>
      </c>
      <c r="D6" s="10" t="s">
        <v>27</v>
      </c>
      <c r="E6" s="9" t="s">
        <v>55</v>
      </c>
      <c r="F6" s="9" t="s">
        <v>56</v>
      </c>
      <c r="G6" s="10" t="s">
        <v>52</v>
      </c>
      <c r="H6" s="10" t="s">
        <v>7</v>
      </c>
      <c r="I6" s="16">
        <f t="shared" si="0"/>
        <v>1</v>
      </c>
      <c r="J6" s="10" t="s">
        <v>57</v>
      </c>
      <c r="K6" s="10" t="s">
        <v>54</v>
      </c>
      <c r="L6" s="14">
        <f t="shared" si="1"/>
        <v>46215</v>
      </c>
      <c r="M6" s="14">
        <v>46215</v>
      </c>
      <c r="N6" s="9"/>
      <c r="O6" s="9"/>
      <c r="P6" s="9"/>
    </row>
    <row r="7" spans="1:16" ht="20" customHeight="1">
      <c r="A7" s="10">
        <v>3</v>
      </c>
      <c r="B7" s="10">
        <v>1</v>
      </c>
      <c r="C7" s="14">
        <f>总览!$C$5+B7-1</f>
        <v>46215</v>
      </c>
      <c r="D7" s="10" t="s">
        <v>27</v>
      </c>
      <c r="E7" s="9" t="s">
        <v>58</v>
      </c>
      <c r="F7" s="9" t="s">
        <v>59</v>
      </c>
      <c r="G7" s="10" t="s">
        <v>52</v>
      </c>
      <c r="H7" s="10" t="s">
        <v>7</v>
      </c>
      <c r="I7" s="16">
        <f t="shared" si="0"/>
        <v>1</v>
      </c>
      <c r="J7" s="10" t="s">
        <v>60</v>
      </c>
      <c r="K7" s="10" t="s">
        <v>54</v>
      </c>
      <c r="L7" s="14">
        <f t="shared" si="1"/>
        <v>46215</v>
      </c>
      <c r="M7" s="14"/>
      <c r="N7" s="9"/>
      <c r="O7" s="9"/>
      <c r="P7" s="9"/>
    </row>
    <row r="8" spans="1:16" ht="20" customHeight="1">
      <c r="A8" s="10">
        <v>4</v>
      </c>
      <c r="B8" s="10">
        <v>1</v>
      </c>
      <c r="C8" s="14">
        <f>总览!$C$5+B8-1</f>
        <v>46215</v>
      </c>
      <c r="D8" s="10" t="s">
        <v>27</v>
      </c>
      <c r="E8" s="9" t="s">
        <v>61</v>
      </c>
      <c r="F8" s="11" t="s">
        <v>62</v>
      </c>
      <c r="G8" s="10" t="s">
        <v>52</v>
      </c>
      <c r="H8" s="10" t="s">
        <v>7</v>
      </c>
      <c r="I8" s="16">
        <f t="shared" si="0"/>
        <v>1</v>
      </c>
      <c r="J8" s="10" t="s">
        <v>63</v>
      </c>
      <c r="K8" s="10" t="s">
        <v>54</v>
      </c>
      <c r="L8" s="14">
        <f t="shared" si="1"/>
        <v>46215</v>
      </c>
      <c r="M8" s="14"/>
      <c r="N8" s="9"/>
      <c r="O8" s="9"/>
      <c r="P8" s="9"/>
    </row>
    <row r="9" spans="1:16" ht="20" customHeight="1">
      <c r="A9" s="10">
        <v>5</v>
      </c>
      <c r="B9" s="10">
        <v>1</v>
      </c>
      <c r="C9" s="14">
        <f>总览!$C$5+B9-1</f>
        <v>46215</v>
      </c>
      <c r="D9" s="10" t="s">
        <v>21</v>
      </c>
      <c r="E9" s="9" t="s">
        <v>64</v>
      </c>
      <c r="F9" s="9" t="s">
        <v>65</v>
      </c>
      <c r="G9" s="10" t="s">
        <v>52</v>
      </c>
      <c r="H9" s="10" t="s">
        <v>7</v>
      </c>
      <c r="I9" s="16">
        <f t="shared" si="0"/>
        <v>1</v>
      </c>
      <c r="J9" s="10" t="s">
        <v>66</v>
      </c>
      <c r="K9" s="10" t="s">
        <v>54</v>
      </c>
      <c r="L9" s="14">
        <f t="shared" si="1"/>
        <v>46215</v>
      </c>
      <c r="M9" s="14"/>
      <c r="N9" s="9"/>
      <c r="O9" s="9"/>
      <c r="P9" s="9"/>
    </row>
    <row r="10" spans="1:16" ht="20" customHeight="1">
      <c r="A10" s="10">
        <v>6</v>
      </c>
      <c r="B10" s="10">
        <v>1</v>
      </c>
      <c r="C10" s="14">
        <f>总览!$C$5+B10-1</f>
        <v>46215</v>
      </c>
      <c r="D10" s="10" t="s">
        <v>21</v>
      </c>
      <c r="E10" s="9" t="s">
        <v>67</v>
      </c>
      <c r="F10" s="9" t="s">
        <v>68</v>
      </c>
      <c r="G10" s="10" t="s">
        <v>52</v>
      </c>
      <c r="H10" s="10" t="s">
        <v>7</v>
      </c>
      <c r="I10" s="16">
        <f t="shared" si="0"/>
        <v>1</v>
      </c>
      <c r="J10" s="10" t="s">
        <v>70</v>
      </c>
      <c r="K10" s="10" t="s">
        <v>54</v>
      </c>
      <c r="L10" s="14">
        <f t="shared" si="1"/>
        <v>46215</v>
      </c>
      <c r="M10" s="14"/>
      <c r="N10" s="9"/>
      <c r="O10" s="9"/>
      <c r="P10" s="9"/>
    </row>
    <row r="11" spans="1:16" ht="20" customHeight="1">
      <c r="A11" s="10">
        <v>7</v>
      </c>
      <c r="B11" s="10">
        <v>1</v>
      </c>
      <c r="C11" s="14">
        <f>总览!$C$5+B11-1</f>
        <v>46215</v>
      </c>
      <c r="D11" s="10" t="s">
        <v>21</v>
      </c>
      <c r="E11" s="9" t="s">
        <v>71</v>
      </c>
      <c r="F11" s="9" t="s">
        <v>72</v>
      </c>
      <c r="G11" s="10" t="s">
        <v>52</v>
      </c>
      <c r="H11" s="10" t="s">
        <v>7</v>
      </c>
      <c r="I11" s="16">
        <f t="shared" si="0"/>
        <v>1</v>
      </c>
      <c r="J11" s="10" t="s">
        <v>73</v>
      </c>
      <c r="K11" s="10" t="s">
        <v>54</v>
      </c>
      <c r="L11" s="14">
        <f t="shared" si="1"/>
        <v>46215</v>
      </c>
      <c r="M11" s="14"/>
      <c r="N11" s="9"/>
      <c r="O11" s="9"/>
      <c r="P11" s="9"/>
    </row>
    <row r="12" spans="1:16" ht="20" customHeight="1">
      <c r="A12" s="10">
        <v>8</v>
      </c>
      <c r="B12" s="10">
        <v>1</v>
      </c>
      <c r="C12" s="14">
        <f>总览!$C$5+B12-1</f>
        <v>46215</v>
      </c>
      <c r="D12" s="10" t="s">
        <v>23</v>
      </c>
      <c r="E12" s="9" t="s">
        <v>74</v>
      </c>
      <c r="F12" s="9" t="s">
        <v>75</v>
      </c>
      <c r="G12" s="10" t="s">
        <v>76</v>
      </c>
      <c r="H12" s="10" t="s">
        <v>7</v>
      </c>
      <c r="I12" s="16">
        <f t="shared" si="0"/>
        <v>1</v>
      </c>
      <c r="J12" s="10" t="s">
        <v>77</v>
      </c>
      <c r="K12" s="10" t="s">
        <v>54</v>
      </c>
      <c r="L12" s="14">
        <f t="shared" si="1"/>
        <v>46215</v>
      </c>
      <c r="M12" s="14"/>
      <c r="N12" s="9"/>
      <c r="O12" s="9"/>
      <c r="P12" s="9"/>
    </row>
    <row r="13" spans="1:16" ht="20" customHeight="1">
      <c r="A13" s="10">
        <v>9</v>
      </c>
      <c r="B13" s="10">
        <v>1</v>
      </c>
      <c r="C13" s="14">
        <f>总览!$C$5+B13-1</f>
        <v>46215</v>
      </c>
      <c r="D13" s="10" t="s">
        <v>23</v>
      </c>
      <c r="E13" s="9" t="s">
        <v>78</v>
      </c>
      <c r="F13" s="9" t="s">
        <v>79</v>
      </c>
      <c r="G13" s="10" t="s">
        <v>76</v>
      </c>
      <c r="H13" s="10" t="s">
        <v>7</v>
      </c>
      <c r="I13" s="16">
        <f t="shared" si="0"/>
        <v>1</v>
      </c>
      <c r="J13" s="10" t="s">
        <v>80</v>
      </c>
      <c r="K13" s="10" t="s">
        <v>54</v>
      </c>
      <c r="L13" s="14">
        <f t="shared" si="1"/>
        <v>46215</v>
      </c>
      <c r="M13" s="14"/>
      <c r="N13" s="9"/>
      <c r="O13" s="9"/>
      <c r="P13" s="9"/>
    </row>
    <row r="14" spans="1:16" ht="20" customHeight="1">
      <c r="A14" s="10">
        <v>10</v>
      </c>
      <c r="B14" s="10">
        <v>1</v>
      </c>
      <c r="C14" s="14">
        <f>总览!$C$5+B14-1</f>
        <v>46215</v>
      </c>
      <c r="D14" s="10" t="s">
        <v>23</v>
      </c>
      <c r="E14" s="9" t="s">
        <v>81</v>
      </c>
      <c r="F14" s="9" t="s">
        <v>75</v>
      </c>
      <c r="G14" s="10" t="s">
        <v>82</v>
      </c>
      <c r="H14" s="10" t="s">
        <v>69</v>
      </c>
      <c r="I14" s="16">
        <f t="shared" si="0"/>
        <v>0</v>
      </c>
      <c r="J14" s="10" t="s">
        <v>83</v>
      </c>
      <c r="K14" s="10" t="s">
        <v>54</v>
      </c>
      <c r="L14" s="14">
        <f t="shared" si="1"/>
        <v>46215</v>
      </c>
      <c r="M14" s="14"/>
      <c r="N14" s="9"/>
      <c r="O14" s="9"/>
      <c r="P14" s="9"/>
    </row>
    <row r="15" spans="1:16" ht="20" customHeight="1">
      <c r="A15" s="10">
        <v>11</v>
      </c>
      <c r="B15" s="10">
        <v>1</v>
      </c>
      <c r="C15" s="14">
        <f>总览!$C$5+B15-1</f>
        <v>46215</v>
      </c>
      <c r="D15" s="10" t="s">
        <v>23</v>
      </c>
      <c r="E15" s="9" t="s">
        <v>84</v>
      </c>
      <c r="F15" s="9" t="s">
        <v>85</v>
      </c>
      <c r="G15" s="10" t="s">
        <v>76</v>
      </c>
      <c r="H15" s="10" t="s">
        <v>69</v>
      </c>
      <c r="I15" s="16">
        <f t="shared" si="0"/>
        <v>0</v>
      </c>
      <c r="J15" s="10" t="s">
        <v>86</v>
      </c>
      <c r="K15" s="10" t="s">
        <v>54</v>
      </c>
      <c r="L15" s="14">
        <f t="shared" si="1"/>
        <v>46215</v>
      </c>
      <c r="M15" s="14"/>
      <c r="N15" s="9"/>
      <c r="O15" s="9"/>
      <c r="P15" s="9"/>
    </row>
    <row r="16" spans="1:16" ht="20" customHeight="1">
      <c r="A16" s="10">
        <v>12</v>
      </c>
      <c r="B16" s="10">
        <v>1</v>
      </c>
      <c r="C16" s="14">
        <f>总览!$C$5+B16-1</f>
        <v>46215</v>
      </c>
      <c r="D16" s="10" t="s">
        <v>23</v>
      </c>
      <c r="E16" s="9" t="s">
        <v>87</v>
      </c>
      <c r="F16" s="9" t="s">
        <v>88</v>
      </c>
      <c r="G16" s="10" t="s">
        <v>76</v>
      </c>
      <c r="H16" s="10" t="s">
        <v>7</v>
      </c>
      <c r="I16" s="16">
        <f t="shared" si="0"/>
        <v>1</v>
      </c>
      <c r="J16" s="10" t="s">
        <v>89</v>
      </c>
      <c r="K16" s="10" t="s">
        <v>54</v>
      </c>
      <c r="L16" s="14">
        <f t="shared" si="1"/>
        <v>46215</v>
      </c>
      <c r="M16" s="14"/>
      <c r="N16" s="9"/>
      <c r="O16" s="9"/>
      <c r="P16" s="9"/>
    </row>
    <row r="17" spans="1:16" ht="20" customHeight="1">
      <c r="A17" s="10">
        <v>13</v>
      </c>
      <c r="B17" s="10">
        <v>1</v>
      </c>
      <c r="C17" s="14">
        <f>总览!$C$5+B17-1</f>
        <v>46215</v>
      </c>
      <c r="D17" s="10" t="s">
        <v>23</v>
      </c>
      <c r="E17" s="9" t="s">
        <v>90</v>
      </c>
      <c r="F17" s="9" t="s">
        <v>91</v>
      </c>
      <c r="G17" s="10" t="s">
        <v>76</v>
      </c>
      <c r="H17" s="10" t="s">
        <v>7</v>
      </c>
      <c r="I17" s="16">
        <f t="shared" si="0"/>
        <v>1</v>
      </c>
      <c r="J17" s="10" t="s">
        <v>92</v>
      </c>
      <c r="K17" s="10" t="s">
        <v>54</v>
      </c>
      <c r="L17" s="14">
        <f t="shared" si="1"/>
        <v>46215</v>
      </c>
      <c r="M17" s="14"/>
      <c r="N17" s="9"/>
      <c r="O17" s="9"/>
      <c r="P17" s="9"/>
    </row>
    <row r="18" spans="1:16" ht="20" customHeight="1">
      <c r="A18" s="10">
        <v>14</v>
      </c>
      <c r="B18" s="10">
        <v>1</v>
      </c>
      <c r="C18" s="14">
        <f>总览!$C$5+B18-1</f>
        <v>46215</v>
      </c>
      <c r="D18" s="10" t="s">
        <v>27</v>
      </c>
      <c r="E18" s="9" t="s">
        <v>93</v>
      </c>
      <c r="F18" s="9" t="s">
        <v>94</v>
      </c>
      <c r="G18" s="10" t="s">
        <v>76</v>
      </c>
      <c r="H18" s="10" t="s">
        <v>7</v>
      </c>
      <c r="I18" s="16">
        <f t="shared" si="0"/>
        <v>1</v>
      </c>
      <c r="J18" s="10" t="s">
        <v>95</v>
      </c>
      <c r="K18" s="10" t="s">
        <v>54</v>
      </c>
      <c r="L18" s="14">
        <f t="shared" si="1"/>
        <v>46215</v>
      </c>
      <c r="M18" s="14"/>
      <c r="N18" s="9"/>
      <c r="O18" s="9"/>
      <c r="P18" s="9"/>
    </row>
    <row r="19" spans="1:16" ht="20" customHeight="1">
      <c r="A19" s="10">
        <v>15</v>
      </c>
      <c r="B19" s="10">
        <v>1</v>
      </c>
      <c r="C19" s="14">
        <f>总览!$C$5+B19-1</f>
        <v>46215</v>
      </c>
      <c r="D19" s="10" t="s">
        <v>29</v>
      </c>
      <c r="E19" s="9" t="s">
        <v>96</v>
      </c>
      <c r="F19" s="9" t="s">
        <v>97</v>
      </c>
      <c r="G19" s="10" t="s">
        <v>76</v>
      </c>
      <c r="H19" s="10" t="s">
        <v>69</v>
      </c>
      <c r="I19" s="16">
        <f t="shared" si="0"/>
        <v>0</v>
      </c>
      <c r="J19" s="10" t="s">
        <v>98</v>
      </c>
      <c r="K19" s="10" t="s">
        <v>54</v>
      </c>
      <c r="L19" s="14">
        <f t="shared" si="1"/>
        <v>46215</v>
      </c>
      <c r="M19" s="14"/>
      <c r="N19" s="9"/>
      <c r="O19" s="9"/>
      <c r="P19" s="9"/>
    </row>
    <row r="20" spans="1:16" ht="20" customHeight="1">
      <c r="A20" s="10">
        <v>16</v>
      </c>
      <c r="B20" s="10">
        <v>2</v>
      </c>
      <c r="C20" s="14">
        <f>总览!$C$5+B20-1</f>
        <v>46216</v>
      </c>
      <c r="D20" s="10" t="s">
        <v>19</v>
      </c>
      <c r="E20" s="9" t="s">
        <v>99</v>
      </c>
      <c r="F20" s="9" t="s">
        <v>100</v>
      </c>
      <c r="G20" s="10" t="s">
        <v>52</v>
      </c>
      <c r="H20" s="10" t="s">
        <v>7</v>
      </c>
      <c r="I20" s="16">
        <f t="shared" si="0"/>
        <v>1</v>
      </c>
      <c r="J20" s="10" t="s">
        <v>101</v>
      </c>
      <c r="K20" s="10" t="s">
        <v>54</v>
      </c>
      <c r="L20" s="14">
        <f t="shared" si="1"/>
        <v>46216</v>
      </c>
      <c r="M20" s="14"/>
      <c r="N20" s="9"/>
      <c r="O20" s="9"/>
      <c r="P20" s="9"/>
    </row>
    <row r="21" spans="1:16" ht="20" customHeight="1">
      <c r="A21" s="10">
        <v>17</v>
      </c>
      <c r="B21" s="10">
        <v>2</v>
      </c>
      <c r="C21" s="14">
        <f>总览!$C$5+B21-1</f>
        <v>46216</v>
      </c>
      <c r="D21" s="10" t="s">
        <v>19</v>
      </c>
      <c r="E21" s="9" t="s">
        <v>102</v>
      </c>
      <c r="F21" s="9" t="s">
        <v>103</v>
      </c>
      <c r="G21" s="10" t="s">
        <v>52</v>
      </c>
      <c r="H21" s="10" t="s">
        <v>7</v>
      </c>
      <c r="I21" s="16">
        <f t="shared" si="0"/>
        <v>1</v>
      </c>
      <c r="J21" s="10" t="s">
        <v>104</v>
      </c>
      <c r="K21" s="10" t="s">
        <v>54</v>
      </c>
      <c r="L21" s="14">
        <f t="shared" si="1"/>
        <v>46216</v>
      </c>
      <c r="M21" s="14"/>
      <c r="N21" s="9"/>
      <c r="O21" s="9"/>
      <c r="P21" s="9"/>
    </row>
    <row r="22" spans="1:16" ht="20" customHeight="1">
      <c r="A22" s="10">
        <v>18</v>
      </c>
      <c r="B22" s="10">
        <v>2</v>
      </c>
      <c r="C22" s="14">
        <f>总览!$C$5+B22-1</f>
        <v>46216</v>
      </c>
      <c r="D22" s="10" t="s">
        <v>29</v>
      </c>
      <c r="E22" s="9" t="s">
        <v>105</v>
      </c>
      <c r="F22" s="9" t="s">
        <v>106</v>
      </c>
      <c r="G22" s="10" t="s">
        <v>52</v>
      </c>
      <c r="H22" s="10" t="s">
        <v>7</v>
      </c>
      <c r="I22" s="16">
        <f t="shared" si="0"/>
        <v>1</v>
      </c>
      <c r="J22" s="10" t="s">
        <v>108</v>
      </c>
      <c r="K22" s="10" t="s">
        <v>54</v>
      </c>
      <c r="L22" s="14">
        <f t="shared" si="1"/>
        <v>46216</v>
      </c>
      <c r="M22" s="14"/>
      <c r="N22" s="9"/>
      <c r="O22" s="9"/>
      <c r="P22" s="9"/>
    </row>
    <row r="23" spans="1:16" ht="20" customHeight="1">
      <c r="A23" s="10">
        <v>19</v>
      </c>
      <c r="B23" s="10">
        <v>2</v>
      </c>
      <c r="C23" s="14">
        <f>总览!$C$5+B23-1</f>
        <v>46216</v>
      </c>
      <c r="D23" s="10" t="s">
        <v>29</v>
      </c>
      <c r="E23" s="9" t="s">
        <v>109</v>
      </c>
      <c r="F23" s="9" t="s">
        <v>110</v>
      </c>
      <c r="G23" s="10" t="s">
        <v>52</v>
      </c>
      <c r="H23" s="10" t="s">
        <v>7</v>
      </c>
      <c r="I23" s="16">
        <f t="shared" si="0"/>
        <v>1</v>
      </c>
      <c r="J23" s="10" t="s">
        <v>108</v>
      </c>
      <c r="K23" s="10" t="s">
        <v>54</v>
      </c>
      <c r="L23" s="14">
        <f t="shared" si="1"/>
        <v>46216</v>
      </c>
      <c r="M23" s="14"/>
      <c r="N23" s="9"/>
      <c r="O23" s="9"/>
      <c r="P23" s="9"/>
    </row>
    <row r="24" spans="1:16" ht="20" customHeight="1">
      <c r="A24" s="10">
        <v>20</v>
      </c>
      <c r="B24" s="10">
        <v>2</v>
      </c>
      <c r="C24" s="14">
        <f>总览!$C$5+B24-1</f>
        <v>46216</v>
      </c>
      <c r="D24" s="10" t="s">
        <v>29</v>
      </c>
      <c r="E24" s="9" t="s">
        <v>111</v>
      </c>
      <c r="F24" s="9" t="s">
        <v>112</v>
      </c>
      <c r="G24" s="10" t="s">
        <v>52</v>
      </c>
      <c r="H24" s="10" t="s">
        <v>7</v>
      </c>
      <c r="I24" s="16">
        <f t="shared" si="0"/>
        <v>1</v>
      </c>
      <c r="J24" s="10" t="s">
        <v>108</v>
      </c>
      <c r="K24" s="10" t="s">
        <v>54</v>
      </c>
      <c r="L24" s="14">
        <f t="shared" si="1"/>
        <v>46216</v>
      </c>
      <c r="M24" s="14"/>
      <c r="N24" s="9"/>
      <c r="O24" s="9"/>
      <c r="P24" s="9"/>
    </row>
    <row r="25" spans="1:16" ht="20" customHeight="1">
      <c r="A25" s="10">
        <v>21</v>
      </c>
      <c r="B25" s="10">
        <v>2</v>
      </c>
      <c r="C25" s="14">
        <f>总览!$C$5+B25-1</f>
        <v>46216</v>
      </c>
      <c r="D25" s="10" t="s">
        <v>27</v>
      </c>
      <c r="E25" s="9" t="s">
        <v>113</v>
      </c>
      <c r="F25" s="9" t="s">
        <v>114</v>
      </c>
      <c r="G25" s="10" t="s">
        <v>52</v>
      </c>
      <c r="H25" s="10" t="s">
        <v>107</v>
      </c>
      <c r="I25" s="16">
        <f t="shared" si="0"/>
        <v>0.5</v>
      </c>
      <c r="J25" s="10" t="s">
        <v>115</v>
      </c>
      <c r="K25" s="10" t="s">
        <v>54</v>
      </c>
      <c r="L25" s="14">
        <f t="shared" si="1"/>
        <v>46216</v>
      </c>
      <c r="M25" s="14"/>
      <c r="N25" s="9"/>
      <c r="O25" s="9"/>
      <c r="P25" s="9"/>
    </row>
    <row r="26" spans="1:16" ht="20" customHeight="1">
      <c r="A26" s="10">
        <v>22</v>
      </c>
      <c r="B26" s="10">
        <v>2</v>
      </c>
      <c r="C26" s="14">
        <f>总览!$C$5+B26-1</f>
        <v>46216</v>
      </c>
      <c r="D26" s="10" t="s">
        <v>21</v>
      </c>
      <c r="E26" s="9" t="s">
        <v>116</v>
      </c>
      <c r="F26" s="9" t="s">
        <v>117</v>
      </c>
      <c r="G26" s="10" t="s">
        <v>52</v>
      </c>
      <c r="H26" s="10" t="s">
        <v>7</v>
      </c>
      <c r="I26" s="16">
        <f t="shared" si="0"/>
        <v>1</v>
      </c>
      <c r="J26" s="10" t="s">
        <v>118</v>
      </c>
      <c r="K26" s="10" t="s">
        <v>54</v>
      </c>
      <c r="L26" s="14">
        <f t="shared" si="1"/>
        <v>46216</v>
      </c>
      <c r="M26" s="14"/>
      <c r="N26" s="9"/>
      <c r="O26" s="9"/>
      <c r="P26" s="9"/>
    </row>
    <row r="27" spans="1:16" ht="20" customHeight="1">
      <c r="A27" s="10">
        <v>23</v>
      </c>
      <c r="B27" s="10">
        <v>2</v>
      </c>
      <c r="C27" s="14">
        <f>总览!$C$5+B27-1</f>
        <v>46216</v>
      </c>
      <c r="D27" s="10" t="s">
        <v>23</v>
      </c>
      <c r="E27" s="9" t="s">
        <v>119</v>
      </c>
      <c r="F27" s="9" t="s">
        <v>120</v>
      </c>
      <c r="G27" s="10" t="s">
        <v>76</v>
      </c>
      <c r="H27" s="10" t="s">
        <v>69</v>
      </c>
      <c r="I27" s="16">
        <f t="shared" si="0"/>
        <v>0</v>
      </c>
      <c r="J27" s="10" t="s">
        <v>121</v>
      </c>
      <c r="K27" s="10" t="s">
        <v>54</v>
      </c>
      <c r="L27" s="14">
        <f t="shared" si="1"/>
        <v>46216</v>
      </c>
      <c r="M27" s="14"/>
      <c r="N27" s="9"/>
      <c r="O27" s="9"/>
      <c r="P27" s="9"/>
    </row>
    <row r="28" spans="1:16" ht="20" customHeight="1">
      <c r="A28" s="10">
        <v>24</v>
      </c>
      <c r="B28" s="10">
        <v>2</v>
      </c>
      <c r="C28" s="14">
        <f>总览!$C$5+B28-1</f>
        <v>46216</v>
      </c>
      <c r="D28" s="10" t="s">
        <v>19</v>
      </c>
      <c r="E28" s="9" t="s">
        <v>122</v>
      </c>
      <c r="F28" s="9" t="s">
        <v>123</v>
      </c>
      <c r="G28" s="10" t="s">
        <v>76</v>
      </c>
      <c r="H28" s="10" t="s">
        <v>69</v>
      </c>
      <c r="I28" s="16">
        <f t="shared" si="0"/>
        <v>0</v>
      </c>
      <c r="J28" s="10" t="s">
        <v>124</v>
      </c>
      <c r="K28" s="10" t="s">
        <v>54</v>
      </c>
      <c r="L28" s="14">
        <f t="shared" si="1"/>
        <v>46216</v>
      </c>
      <c r="M28" s="14"/>
      <c r="N28" s="9"/>
      <c r="O28" s="9"/>
      <c r="P28" s="9"/>
    </row>
    <row r="29" spans="1:16" ht="20" customHeight="1">
      <c r="A29" s="10">
        <v>25</v>
      </c>
      <c r="B29" s="10">
        <v>3</v>
      </c>
      <c r="C29" s="14">
        <f>总览!$C$5+B29-1</f>
        <v>46217</v>
      </c>
      <c r="D29" s="10" t="s">
        <v>23</v>
      </c>
      <c r="E29" s="9" t="s">
        <v>125</v>
      </c>
      <c r="F29" s="9" t="s">
        <v>126</v>
      </c>
      <c r="G29" s="10" t="s">
        <v>52</v>
      </c>
      <c r="H29" s="10" t="s">
        <v>69</v>
      </c>
      <c r="I29" s="16">
        <f t="shared" si="0"/>
        <v>0</v>
      </c>
      <c r="J29" s="10" t="s">
        <v>127</v>
      </c>
      <c r="K29" s="10" t="s">
        <v>54</v>
      </c>
      <c r="L29" s="14">
        <f t="shared" si="1"/>
        <v>46217</v>
      </c>
      <c r="M29" s="14"/>
      <c r="N29" s="9"/>
      <c r="O29" s="9"/>
      <c r="P29" s="9"/>
    </row>
    <row r="30" spans="1:16" ht="20" customHeight="1">
      <c r="A30" s="10">
        <v>26</v>
      </c>
      <c r="B30" s="10">
        <v>3</v>
      </c>
      <c r="C30" s="14">
        <f>总览!$C$5+B30-1</f>
        <v>46217</v>
      </c>
      <c r="D30" s="10" t="s">
        <v>23</v>
      </c>
      <c r="E30" s="9" t="s">
        <v>128</v>
      </c>
      <c r="F30" s="9" t="s">
        <v>129</v>
      </c>
      <c r="G30" s="10" t="s">
        <v>52</v>
      </c>
      <c r="H30" s="10" t="s">
        <v>69</v>
      </c>
      <c r="I30" s="16">
        <f t="shared" si="0"/>
        <v>0</v>
      </c>
      <c r="J30" s="10" t="s">
        <v>130</v>
      </c>
      <c r="K30" s="10" t="s">
        <v>54</v>
      </c>
      <c r="L30" s="14">
        <f t="shared" si="1"/>
        <v>46217</v>
      </c>
      <c r="M30" s="14"/>
      <c r="N30" s="9"/>
      <c r="O30" s="9"/>
      <c r="P30" s="9"/>
    </row>
    <row r="31" spans="1:16" ht="20" customHeight="1">
      <c r="A31" s="10">
        <v>27</v>
      </c>
      <c r="B31" s="10">
        <v>3</v>
      </c>
      <c r="C31" s="14">
        <f>总览!$C$5+B31-1</f>
        <v>46217</v>
      </c>
      <c r="D31" s="10" t="s">
        <v>23</v>
      </c>
      <c r="E31" s="9" t="s">
        <v>131</v>
      </c>
      <c r="F31" s="9" t="s">
        <v>132</v>
      </c>
      <c r="G31" s="10" t="s">
        <v>76</v>
      </c>
      <c r="H31" s="10" t="s">
        <v>69</v>
      </c>
      <c r="I31" s="16">
        <f t="shared" si="0"/>
        <v>0</v>
      </c>
      <c r="J31" s="10" t="s">
        <v>92</v>
      </c>
      <c r="K31" s="10" t="s">
        <v>54</v>
      </c>
      <c r="L31" s="14">
        <f t="shared" si="1"/>
        <v>46217</v>
      </c>
      <c r="M31" s="14"/>
      <c r="N31" s="9"/>
      <c r="O31" s="9"/>
      <c r="P31" s="9"/>
    </row>
    <row r="32" spans="1:16" ht="20" customHeight="1">
      <c r="A32" s="10">
        <v>28</v>
      </c>
      <c r="B32" s="10">
        <v>3</v>
      </c>
      <c r="C32" s="14">
        <f>总览!$C$5+B32-1</f>
        <v>46217</v>
      </c>
      <c r="D32" s="10" t="s">
        <v>25</v>
      </c>
      <c r="E32" s="9" t="s">
        <v>133</v>
      </c>
      <c r="F32" s="9" t="s">
        <v>134</v>
      </c>
      <c r="G32" s="10" t="s">
        <v>76</v>
      </c>
      <c r="H32" s="10" t="s">
        <v>69</v>
      </c>
      <c r="I32" s="16">
        <f t="shared" si="0"/>
        <v>0</v>
      </c>
      <c r="J32" s="10" t="s">
        <v>89</v>
      </c>
      <c r="K32" s="10" t="s">
        <v>54</v>
      </c>
      <c r="L32" s="14">
        <f t="shared" si="1"/>
        <v>46217</v>
      </c>
      <c r="M32" s="14"/>
      <c r="N32" s="9"/>
      <c r="O32" s="9"/>
      <c r="P32" s="9"/>
    </row>
    <row r="33" spans="1:16" ht="20" customHeight="1">
      <c r="A33" s="10">
        <v>29</v>
      </c>
      <c r="B33" s="10">
        <v>3</v>
      </c>
      <c r="C33" s="14">
        <f>总览!$C$5+B33-1</f>
        <v>46217</v>
      </c>
      <c r="D33" s="10" t="s">
        <v>23</v>
      </c>
      <c r="E33" s="9" t="s">
        <v>135</v>
      </c>
      <c r="F33" s="9" t="s">
        <v>136</v>
      </c>
      <c r="G33" s="10" t="s">
        <v>76</v>
      </c>
      <c r="H33" s="10" t="s">
        <v>69</v>
      </c>
      <c r="I33" s="16">
        <f t="shared" si="0"/>
        <v>0</v>
      </c>
      <c r="J33" s="10" t="s">
        <v>137</v>
      </c>
      <c r="K33" s="10" t="s">
        <v>54</v>
      </c>
      <c r="L33" s="14">
        <f t="shared" si="1"/>
        <v>46217</v>
      </c>
      <c r="M33" s="14"/>
      <c r="N33" s="9"/>
      <c r="O33" s="9"/>
      <c r="P33" s="9"/>
    </row>
    <row r="34" spans="1:16" ht="20" customHeight="1">
      <c r="A34" s="10">
        <v>30</v>
      </c>
      <c r="B34" s="10">
        <v>3</v>
      </c>
      <c r="C34" s="14">
        <f>总览!$C$5+B34-1</f>
        <v>46217</v>
      </c>
      <c r="D34" s="10" t="s">
        <v>25</v>
      </c>
      <c r="E34" s="9" t="s">
        <v>138</v>
      </c>
      <c r="F34" s="9" t="s">
        <v>139</v>
      </c>
      <c r="G34" s="10" t="s">
        <v>76</v>
      </c>
      <c r="H34" s="10" t="s">
        <v>69</v>
      </c>
      <c r="I34" s="16">
        <f t="shared" si="0"/>
        <v>0</v>
      </c>
      <c r="J34" s="10" t="s">
        <v>140</v>
      </c>
      <c r="K34" s="10" t="s">
        <v>54</v>
      </c>
      <c r="L34" s="14">
        <f t="shared" si="1"/>
        <v>46217</v>
      </c>
      <c r="M34" s="14"/>
      <c r="N34" s="9"/>
      <c r="O34" s="9"/>
      <c r="P34" s="9"/>
    </row>
    <row r="35" spans="1:16" ht="20" customHeight="1">
      <c r="A35" s="10">
        <v>31</v>
      </c>
      <c r="B35" s="10">
        <v>4</v>
      </c>
      <c r="C35" s="14">
        <f>总览!$C$5+B35-1</f>
        <v>46218</v>
      </c>
      <c r="D35" s="10" t="s">
        <v>21</v>
      </c>
      <c r="E35" s="9" t="s">
        <v>141</v>
      </c>
      <c r="F35" s="9" t="s">
        <v>142</v>
      </c>
      <c r="G35" s="10" t="s">
        <v>52</v>
      </c>
      <c r="H35" s="10" t="s">
        <v>69</v>
      </c>
      <c r="I35" s="16">
        <f t="shared" si="0"/>
        <v>0</v>
      </c>
      <c r="J35" s="10" t="s">
        <v>73</v>
      </c>
      <c r="K35" s="10" t="s">
        <v>54</v>
      </c>
      <c r="L35" s="14">
        <f t="shared" si="1"/>
        <v>46218</v>
      </c>
      <c r="M35" s="14"/>
      <c r="N35" s="9"/>
      <c r="O35" s="9"/>
      <c r="P35" s="9"/>
    </row>
    <row r="36" spans="1:16" ht="20" customHeight="1">
      <c r="A36" s="10">
        <v>32</v>
      </c>
      <c r="B36" s="10">
        <v>4</v>
      </c>
      <c r="C36" s="14">
        <f>总览!$C$5+B36-1</f>
        <v>46218</v>
      </c>
      <c r="D36" s="10" t="s">
        <v>23</v>
      </c>
      <c r="E36" s="9" t="s">
        <v>143</v>
      </c>
      <c r="F36" s="9" t="s">
        <v>144</v>
      </c>
      <c r="G36" s="10" t="s">
        <v>52</v>
      </c>
      <c r="H36" s="10" t="s">
        <v>69</v>
      </c>
      <c r="I36" s="16">
        <f t="shared" si="0"/>
        <v>0</v>
      </c>
      <c r="J36" s="10" t="s">
        <v>77</v>
      </c>
      <c r="K36" s="10" t="s">
        <v>54</v>
      </c>
      <c r="L36" s="14">
        <f t="shared" si="1"/>
        <v>46218</v>
      </c>
      <c r="M36" s="14"/>
      <c r="N36" s="9"/>
      <c r="O36" s="9"/>
      <c r="P36" s="9"/>
    </row>
    <row r="37" spans="1:16" ht="20" customHeight="1">
      <c r="A37" s="10">
        <v>33</v>
      </c>
      <c r="B37" s="10">
        <v>4</v>
      </c>
      <c r="C37" s="14">
        <f>总览!$C$5+B37-1</f>
        <v>46218</v>
      </c>
      <c r="D37" s="10" t="s">
        <v>23</v>
      </c>
      <c r="E37" s="9" t="s">
        <v>145</v>
      </c>
      <c r="F37" s="9" t="s">
        <v>146</v>
      </c>
      <c r="G37" s="10" t="s">
        <v>52</v>
      </c>
      <c r="H37" s="10" t="s">
        <v>69</v>
      </c>
      <c r="I37" s="16">
        <f t="shared" ref="I37:I56" si="2">IF(H37="已完成",1,IF(H37="待审核",0.9,IF(H37="进行中",0.5,IF(H37="已阻塞",0.25,0))))</f>
        <v>0</v>
      </c>
      <c r="J37" s="10" t="s">
        <v>80</v>
      </c>
      <c r="K37" s="10" t="s">
        <v>54</v>
      </c>
      <c r="L37" s="14">
        <f t="shared" ref="L37:L56" si="3">C37</f>
        <v>46218</v>
      </c>
      <c r="M37" s="14"/>
      <c r="N37" s="9"/>
      <c r="O37" s="9"/>
      <c r="P37" s="9"/>
    </row>
    <row r="38" spans="1:16" ht="20" customHeight="1">
      <c r="A38" s="10">
        <v>34</v>
      </c>
      <c r="B38" s="10">
        <v>4</v>
      </c>
      <c r="C38" s="14">
        <f>总览!$C$5+B38-1</f>
        <v>46218</v>
      </c>
      <c r="D38" s="10" t="s">
        <v>25</v>
      </c>
      <c r="E38" s="9" t="s">
        <v>147</v>
      </c>
      <c r="F38" s="9" t="s">
        <v>148</v>
      </c>
      <c r="G38" s="10" t="s">
        <v>52</v>
      </c>
      <c r="H38" s="10" t="s">
        <v>69</v>
      </c>
      <c r="I38" s="16">
        <f t="shared" si="2"/>
        <v>0</v>
      </c>
      <c r="J38" s="10" t="s">
        <v>149</v>
      </c>
      <c r="K38" s="10" t="s">
        <v>54</v>
      </c>
      <c r="L38" s="14">
        <f t="shared" si="3"/>
        <v>46218</v>
      </c>
      <c r="M38" s="14"/>
      <c r="N38" s="9"/>
      <c r="O38" s="9"/>
      <c r="P38" s="9"/>
    </row>
    <row r="39" spans="1:16" ht="20" customHeight="1">
      <c r="A39" s="10">
        <v>35</v>
      </c>
      <c r="B39" s="10">
        <v>4</v>
      </c>
      <c r="C39" s="14">
        <f>总览!$C$5+B39-1</f>
        <v>46218</v>
      </c>
      <c r="D39" s="10" t="s">
        <v>23</v>
      </c>
      <c r="E39" s="9" t="s">
        <v>150</v>
      </c>
      <c r="F39" s="9" t="s">
        <v>151</v>
      </c>
      <c r="G39" s="10" t="s">
        <v>76</v>
      </c>
      <c r="H39" s="10" t="s">
        <v>69</v>
      </c>
      <c r="I39" s="16">
        <f t="shared" si="2"/>
        <v>0</v>
      </c>
      <c r="J39" s="10" t="s">
        <v>152</v>
      </c>
      <c r="K39" s="10" t="s">
        <v>54</v>
      </c>
      <c r="L39" s="14">
        <f t="shared" si="3"/>
        <v>46218</v>
      </c>
      <c r="M39" s="14"/>
      <c r="N39" s="9"/>
      <c r="O39" s="9"/>
      <c r="P39" s="9"/>
    </row>
    <row r="40" spans="1:16" ht="20" customHeight="1">
      <c r="A40" s="10">
        <v>36</v>
      </c>
      <c r="B40" s="10">
        <v>4</v>
      </c>
      <c r="C40" s="14">
        <f>总览!$C$5+B40-1</f>
        <v>46218</v>
      </c>
      <c r="D40" s="10" t="s">
        <v>19</v>
      </c>
      <c r="E40" s="9" t="s">
        <v>153</v>
      </c>
      <c r="F40" s="9" t="s">
        <v>154</v>
      </c>
      <c r="G40" s="10" t="s">
        <v>52</v>
      </c>
      <c r="H40" s="10" t="s">
        <v>69</v>
      </c>
      <c r="I40" s="16">
        <f t="shared" si="2"/>
        <v>0</v>
      </c>
      <c r="J40" s="10" t="s">
        <v>155</v>
      </c>
      <c r="K40" s="10" t="s">
        <v>54</v>
      </c>
      <c r="L40" s="14">
        <f t="shared" si="3"/>
        <v>46218</v>
      </c>
      <c r="M40" s="14"/>
      <c r="N40" s="9"/>
      <c r="O40" s="9"/>
      <c r="P40" s="9"/>
    </row>
    <row r="41" spans="1:16" ht="20" customHeight="1">
      <c r="A41" s="10">
        <v>37</v>
      </c>
      <c r="B41" s="10">
        <v>5</v>
      </c>
      <c r="C41" s="14">
        <f>总览!$C$5+B41-1</f>
        <v>46219</v>
      </c>
      <c r="D41" s="10" t="s">
        <v>23</v>
      </c>
      <c r="E41" s="9" t="s">
        <v>156</v>
      </c>
      <c r="F41" s="9" t="s">
        <v>157</v>
      </c>
      <c r="G41" s="10" t="s">
        <v>76</v>
      </c>
      <c r="H41" s="10" t="s">
        <v>69</v>
      </c>
      <c r="I41" s="16">
        <f t="shared" si="2"/>
        <v>0</v>
      </c>
      <c r="J41" s="10" t="s">
        <v>158</v>
      </c>
      <c r="K41" s="10" t="s">
        <v>54</v>
      </c>
      <c r="L41" s="14">
        <f t="shared" si="3"/>
        <v>46219</v>
      </c>
      <c r="M41" s="14"/>
      <c r="N41" s="9"/>
      <c r="O41" s="9"/>
      <c r="P41" s="9"/>
    </row>
    <row r="42" spans="1:16" ht="20" customHeight="1">
      <c r="A42" s="10">
        <v>38</v>
      </c>
      <c r="B42" s="10">
        <v>5</v>
      </c>
      <c r="C42" s="14">
        <f>总览!$C$5+B42-1</f>
        <v>46219</v>
      </c>
      <c r="D42" s="10" t="s">
        <v>23</v>
      </c>
      <c r="E42" s="9" t="s">
        <v>159</v>
      </c>
      <c r="F42" s="9" t="s">
        <v>160</v>
      </c>
      <c r="G42" s="10" t="s">
        <v>76</v>
      </c>
      <c r="H42" s="10" t="s">
        <v>69</v>
      </c>
      <c r="I42" s="16">
        <f t="shared" si="2"/>
        <v>0</v>
      </c>
      <c r="J42" s="10" t="s">
        <v>161</v>
      </c>
      <c r="K42" s="10" t="s">
        <v>54</v>
      </c>
      <c r="L42" s="14">
        <f t="shared" si="3"/>
        <v>46219</v>
      </c>
      <c r="M42" s="14"/>
      <c r="N42" s="9"/>
      <c r="O42" s="9"/>
      <c r="P42" s="9"/>
    </row>
    <row r="43" spans="1:16" ht="20" customHeight="1">
      <c r="A43" s="10">
        <v>39</v>
      </c>
      <c r="B43" s="10">
        <v>5</v>
      </c>
      <c r="C43" s="14">
        <f>总览!$C$5+B43-1</f>
        <v>46219</v>
      </c>
      <c r="D43" s="10" t="s">
        <v>25</v>
      </c>
      <c r="E43" s="9" t="s">
        <v>162</v>
      </c>
      <c r="F43" s="9" t="s">
        <v>163</v>
      </c>
      <c r="G43" s="10" t="s">
        <v>52</v>
      </c>
      <c r="H43" s="10" t="s">
        <v>69</v>
      </c>
      <c r="I43" s="16">
        <f t="shared" si="2"/>
        <v>0</v>
      </c>
      <c r="J43" s="10" t="s">
        <v>149</v>
      </c>
      <c r="K43" s="10" t="s">
        <v>54</v>
      </c>
      <c r="L43" s="14">
        <f t="shared" si="3"/>
        <v>46219</v>
      </c>
      <c r="M43" s="14"/>
      <c r="N43" s="9"/>
      <c r="O43" s="9"/>
      <c r="P43" s="9"/>
    </row>
    <row r="44" spans="1:16" ht="20" customHeight="1">
      <c r="A44" s="10">
        <v>40</v>
      </c>
      <c r="B44" s="10">
        <v>5</v>
      </c>
      <c r="C44" s="14">
        <f>总览!$C$5+B44-1</f>
        <v>46219</v>
      </c>
      <c r="D44" s="10" t="s">
        <v>25</v>
      </c>
      <c r="E44" s="9" t="s">
        <v>164</v>
      </c>
      <c r="F44" s="9" t="s">
        <v>165</v>
      </c>
      <c r="G44" s="10" t="s">
        <v>76</v>
      </c>
      <c r="H44" s="10" t="s">
        <v>69</v>
      </c>
      <c r="I44" s="16">
        <f t="shared" si="2"/>
        <v>0</v>
      </c>
      <c r="J44" s="10" t="s">
        <v>166</v>
      </c>
      <c r="K44" s="10" t="s">
        <v>54</v>
      </c>
      <c r="L44" s="14">
        <f t="shared" si="3"/>
        <v>46219</v>
      </c>
      <c r="M44" s="14"/>
      <c r="N44" s="9"/>
      <c r="O44" s="9"/>
      <c r="P44" s="9"/>
    </row>
    <row r="45" spans="1:16" ht="20" customHeight="1">
      <c r="A45" s="10">
        <v>41</v>
      </c>
      <c r="B45" s="10">
        <v>5</v>
      </c>
      <c r="C45" s="14">
        <f>总览!$C$5+B45-1</f>
        <v>46219</v>
      </c>
      <c r="D45" s="10" t="s">
        <v>25</v>
      </c>
      <c r="E45" s="9" t="s">
        <v>167</v>
      </c>
      <c r="F45" s="9" t="s">
        <v>168</v>
      </c>
      <c r="G45" s="10" t="s">
        <v>76</v>
      </c>
      <c r="H45" s="10" t="s">
        <v>69</v>
      </c>
      <c r="I45" s="16">
        <f t="shared" si="2"/>
        <v>0</v>
      </c>
      <c r="J45" s="10" t="s">
        <v>169</v>
      </c>
      <c r="K45" s="10" t="s">
        <v>54</v>
      </c>
      <c r="L45" s="14">
        <f t="shared" si="3"/>
        <v>46219</v>
      </c>
      <c r="M45" s="14"/>
      <c r="N45" s="9"/>
      <c r="O45" s="9"/>
      <c r="P45" s="9"/>
    </row>
    <row r="46" spans="1:16" ht="20" customHeight="1">
      <c r="A46" s="10">
        <v>42</v>
      </c>
      <c r="B46" s="10">
        <v>6</v>
      </c>
      <c r="C46" s="14">
        <f>总览!$C$5+B46-1</f>
        <v>46220</v>
      </c>
      <c r="D46" s="10" t="s">
        <v>23</v>
      </c>
      <c r="E46" s="9" t="s">
        <v>170</v>
      </c>
      <c r="F46" s="9" t="s">
        <v>171</v>
      </c>
      <c r="G46" s="10" t="s">
        <v>52</v>
      </c>
      <c r="H46" s="10" t="s">
        <v>69</v>
      </c>
      <c r="I46" s="16">
        <f t="shared" si="2"/>
        <v>0</v>
      </c>
      <c r="J46" s="10" t="s">
        <v>172</v>
      </c>
      <c r="K46" s="10" t="s">
        <v>54</v>
      </c>
      <c r="L46" s="14">
        <f t="shared" si="3"/>
        <v>46220</v>
      </c>
      <c r="M46" s="14"/>
      <c r="N46" s="9"/>
      <c r="O46" s="9"/>
      <c r="P46" s="9"/>
    </row>
    <row r="47" spans="1:16" ht="20" customHeight="1">
      <c r="A47" s="10">
        <v>43</v>
      </c>
      <c r="B47" s="10">
        <v>6</v>
      </c>
      <c r="C47" s="14">
        <f>总览!$C$5+B47-1</f>
        <v>46220</v>
      </c>
      <c r="D47" s="10" t="s">
        <v>23</v>
      </c>
      <c r="E47" s="9" t="s">
        <v>173</v>
      </c>
      <c r="F47" s="9" t="s">
        <v>174</v>
      </c>
      <c r="G47" s="10" t="s">
        <v>76</v>
      </c>
      <c r="H47" s="10" t="s">
        <v>69</v>
      </c>
      <c r="I47" s="16">
        <f t="shared" si="2"/>
        <v>0</v>
      </c>
      <c r="J47" s="10" t="s">
        <v>175</v>
      </c>
      <c r="K47" s="10" t="s">
        <v>54</v>
      </c>
      <c r="L47" s="14">
        <f t="shared" si="3"/>
        <v>46220</v>
      </c>
      <c r="M47" s="14"/>
      <c r="N47" s="9"/>
      <c r="O47" s="9"/>
      <c r="P47" s="9"/>
    </row>
    <row r="48" spans="1:16" ht="20" customHeight="1">
      <c r="A48" s="10">
        <v>44</v>
      </c>
      <c r="B48" s="10">
        <v>6</v>
      </c>
      <c r="C48" s="14">
        <f>总览!$C$5+B48-1</f>
        <v>46220</v>
      </c>
      <c r="D48" s="10" t="s">
        <v>23</v>
      </c>
      <c r="E48" s="9" t="s">
        <v>176</v>
      </c>
      <c r="F48" s="9" t="s">
        <v>177</v>
      </c>
      <c r="G48" s="10" t="s">
        <v>76</v>
      </c>
      <c r="H48" s="10" t="s">
        <v>69</v>
      </c>
      <c r="I48" s="16">
        <f t="shared" si="2"/>
        <v>0</v>
      </c>
      <c r="J48" s="10" t="s">
        <v>152</v>
      </c>
      <c r="K48" s="10" t="s">
        <v>54</v>
      </c>
      <c r="L48" s="14">
        <f t="shared" si="3"/>
        <v>46220</v>
      </c>
      <c r="M48" s="14"/>
      <c r="N48" s="9"/>
      <c r="O48" s="9"/>
      <c r="P48" s="9"/>
    </row>
    <row r="49" spans="1:16" ht="20" customHeight="1">
      <c r="A49" s="10">
        <v>45</v>
      </c>
      <c r="B49" s="10">
        <v>6</v>
      </c>
      <c r="C49" s="14">
        <f>总览!$C$5+B49-1</f>
        <v>46220</v>
      </c>
      <c r="D49" s="10" t="s">
        <v>21</v>
      </c>
      <c r="E49" s="9" t="s">
        <v>178</v>
      </c>
      <c r="F49" s="9" t="s">
        <v>179</v>
      </c>
      <c r="G49" s="10" t="s">
        <v>76</v>
      </c>
      <c r="H49" s="10" t="s">
        <v>69</v>
      </c>
      <c r="I49" s="16">
        <f t="shared" si="2"/>
        <v>0</v>
      </c>
      <c r="J49" s="10" t="s">
        <v>180</v>
      </c>
      <c r="K49" s="10" t="s">
        <v>54</v>
      </c>
      <c r="L49" s="14">
        <f t="shared" si="3"/>
        <v>46220</v>
      </c>
      <c r="M49" s="14"/>
      <c r="N49" s="9"/>
      <c r="O49" s="9"/>
      <c r="P49" s="9"/>
    </row>
    <row r="50" spans="1:16" ht="20" customHeight="1">
      <c r="A50" s="10">
        <v>46</v>
      </c>
      <c r="B50" s="10">
        <v>6</v>
      </c>
      <c r="C50" s="14">
        <f>总览!$C$5+B50-1</f>
        <v>46220</v>
      </c>
      <c r="D50" s="10" t="s">
        <v>23</v>
      </c>
      <c r="E50" s="9" t="s">
        <v>181</v>
      </c>
      <c r="F50" s="9" t="s">
        <v>182</v>
      </c>
      <c r="G50" s="10" t="s">
        <v>52</v>
      </c>
      <c r="H50" s="10" t="s">
        <v>69</v>
      </c>
      <c r="I50" s="16">
        <f t="shared" si="2"/>
        <v>0</v>
      </c>
      <c r="J50" s="10" t="s">
        <v>183</v>
      </c>
      <c r="K50" s="10" t="s">
        <v>54</v>
      </c>
      <c r="L50" s="14">
        <f t="shared" si="3"/>
        <v>46220</v>
      </c>
      <c r="M50" s="14"/>
      <c r="N50" s="9"/>
      <c r="O50" s="9"/>
      <c r="P50" s="9"/>
    </row>
    <row r="51" spans="1:16" ht="20" customHeight="1">
      <c r="A51" s="10">
        <v>47</v>
      </c>
      <c r="B51" s="10">
        <v>7</v>
      </c>
      <c r="C51" s="14">
        <f>总览!$C$5+B51-1</f>
        <v>46221</v>
      </c>
      <c r="D51" s="10" t="s">
        <v>19</v>
      </c>
      <c r="E51" s="9" t="s">
        <v>184</v>
      </c>
      <c r="F51" s="9" t="s">
        <v>185</v>
      </c>
      <c r="G51" s="10" t="s">
        <v>52</v>
      </c>
      <c r="H51" s="10" t="s">
        <v>69</v>
      </c>
      <c r="I51" s="16">
        <f t="shared" si="2"/>
        <v>0</v>
      </c>
      <c r="J51" s="10" t="s">
        <v>186</v>
      </c>
      <c r="K51" s="10" t="s">
        <v>54</v>
      </c>
      <c r="L51" s="14">
        <f t="shared" si="3"/>
        <v>46221</v>
      </c>
      <c r="M51" s="14"/>
      <c r="N51" s="9"/>
      <c r="O51" s="9"/>
      <c r="P51" s="9"/>
    </row>
    <row r="52" spans="1:16" ht="20" customHeight="1">
      <c r="A52" s="10">
        <v>48</v>
      </c>
      <c r="B52" s="10">
        <v>7</v>
      </c>
      <c r="C52" s="14">
        <f>总览!$C$5+B52-1</f>
        <v>46221</v>
      </c>
      <c r="D52" s="10" t="s">
        <v>21</v>
      </c>
      <c r="E52" s="9" t="s">
        <v>187</v>
      </c>
      <c r="F52" s="9" t="s">
        <v>188</v>
      </c>
      <c r="G52" s="10" t="s">
        <v>52</v>
      </c>
      <c r="H52" s="10" t="s">
        <v>69</v>
      </c>
      <c r="I52" s="16">
        <f t="shared" si="2"/>
        <v>0</v>
      </c>
      <c r="J52" s="10" t="s">
        <v>73</v>
      </c>
      <c r="K52" s="10" t="s">
        <v>54</v>
      </c>
      <c r="L52" s="14">
        <f t="shared" si="3"/>
        <v>46221</v>
      </c>
      <c r="M52" s="14"/>
      <c r="N52" s="9"/>
      <c r="O52" s="9"/>
      <c r="P52" s="9"/>
    </row>
    <row r="53" spans="1:16" ht="20" customHeight="1">
      <c r="A53" s="10">
        <v>49</v>
      </c>
      <c r="B53" s="10">
        <v>7</v>
      </c>
      <c r="C53" s="14">
        <f>总览!$C$5+B53-1</f>
        <v>46221</v>
      </c>
      <c r="D53" s="10" t="s">
        <v>21</v>
      </c>
      <c r="E53" s="9" t="s">
        <v>189</v>
      </c>
      <c r="F53" s="9" t="s">
        <v>190</v>
      </c>
      <c r="G53" s="10" t="s">
        <v>52</v>
      </c>
      <c r="H53" s="10" t="s">
        <v>69</v>
      </c>
      <c r="I53" s="16">
        <f t="shared" si="2"/>
        <v>0</v>
      </c>
      <c r="J53" s="10" t="s">
        <v>191</v>
      </c>
      <c r="K53" s="10" t="s">
        <v>54</v>
      </c>
      <c r="L53" s="14">
        <f t="shared" si="3"/>
        <v>46221</v>
      </c>
      <c r="M53" s="14"/>
      <c r="N53" s="9"/>
      <c r="O53" s="9"/>
      <c r="P53" s="9"/>
    </row>
    <row r="54" spans="1:16" ht="20" customHeight="1">
      <c r="A54" s="10">
        <v>50</v>
      </c>
      <c r="B54" s="10">
        <v>7</v>
      </c>
      <c r="C54" s="14">
        <f>总览!$C$5+B54-1</f>
        <v>46221</v>
      </c>
      <c r="D54" s="10" t="s">
        <v>23</v>
      </c>
      <c r="E54" s="9" t="s">
        <v>192</v>
      </c>
      <c r="F54" s="9" t="s">
        <v>193</v>
      </c>
      <c r="G54" s="10" t="s">
        <v>52</v>
      </c>
      <c r="H54" s="10" t="s">
        <v>69</v>
      </c>
      <c r="I54" s="16">
        <f t="shared" si="2"/>
        <v>0</v>
      </c>
      <c r="J54" s="10" t="s">
        <v>194</v>
      </c>
      <c r="K54" s="10" t="s">
        <v>54</v>
      </c>
      <c r="L54" s="14">
        <f t="shared" si="3"/>
        <v>46221</v>
      </c>
      <c r="M54" s="14"/>
      <c r="N54" s="9"/>
      <c r="O54" s="9"/>
      <c r="P54" s="9"/>
    </row>
    <row r="55" spans="1:16" ht="20" customHeight="1">
      <c r="A55" s="10">
        <v>51</v>
      </c>
      <c r="B55" s="10">
        <v>7</v>
      </c>
      <c r="C55" s="14">
        <f>总览!$C$5+B55-1</f>
        <v>46221</v>
      </c>
      <c r="D55" s="10" t="s">
        <v>25</v>
      </c>
      <c r="E55" s="9" t="s">
        <v>195</v>
      </c>
      <c r="F55" s="9" t="s">
        <v>196</v>
      </c>
      <c r="G55" s="10" t="s">
        <v>52</v>
      </c>
      <c r="H55" s="10" t="s">
        <v>69</v>
      </c>
      <c r="I55" s="16">
        <f t="shared" si="2"/>
        <v>0</v>
      </c>
      <c r="J55" s="10" t="s">
        <v>197</v>
      </c>
      <c r="K55" s="10" t="s">
        <v>54</v>
      </c>
      <c r="L55" s="14">
        <f t="shared" si="3"/>
        <v>46221</v>
      </c>
      <c r="M55" s="14"/>
      <c r="N55" s="9"/>
      <c r="O55" s="9"/>
      <c r="P55" s="9"/>
    </row>
    <row r="56" spans="1:16" ht="20" customHeight="1">
      <c r="A56" s="10">
        <v>52</v>
      </c>
      <c r="B56" s="10">
        <v>7</v>
      </c>
      <c r="C56" s="14">
        <f>总览!$C$5+B56-1</f>
        <v>46221</v>
      </c>
      <c r="D56" s="10" t="s">
        <v>25</v>
      </c>
      <c r="E56" s="9" t="s">
        <v>198</v>
      </c>
      <c r="F56" s="9" t="s">
        <v>199</v>
      </c>
      <c r="G56" s="10" t="s">
        <v>52</v>
      </c>
      <c r="H56" s="10" t="s">
        <v>69</v>
      </c>
      <c r="I56" s="16">
        <f t="shared" si="2"/>
        <v>0</v>
      </c>
      <c r="J56" s="10" t="s">
        <v>200</v>
      </c>
      <c r="K56" s="10" t="s">
        <v>54</v>
      </c>
      <c r="L56" s="14">
        <f t="shared" si="3"/>
        <v>46221</v>
      </c>
      <c r="M56" s="14"/>
      <c r="N56" s="9"/>
      <c r="O56" s="9"/>
      <c r="P56" s="9"/>
    </row>
    <row r="57" spans="1:16" ht="20" customHeight="1">
      <c r="A57" s="13">
        <v>53</v>
      </c>
      <c r="B57" s="13">
        <v>1</v>
      </c>
      <c r="C57" s="15">
        <f>总览!$C$5+B57-1</f>
        <v>46215</v>
      </c>
      <c r="D57" s="13" t="s">
        <v>19</v>
      </c>
      <c r="E57" s="12" t="s">
        <v>201</v>
      </c>
      <c r="F57" s="12" t="s">
        <v>202</v>
      </c>
      <c r="G57" s="13" t="s">
        <v>52</v>
      </c>
      <c r="H57" s="13" t="s">
        <v>107</v>
      </c>
      <c r="I57" s="17">
        <f t="shared" ref="I57:I76" si="4">IF(H57="已完成",1,IF(H57="待审核",0.9,IF(H57="进行中",0.5,IF(H57="已阻塞",0.25,0))))</f>
        <v>0.5</v>
      </c>
      <c r="J57" s="13" t="s">
        <v>203</v>
      </c>
      <c r="K57" s="13" t="s">
        <v>204</v>
      </c>
      <c r="L57" s="15">
        <f t="shared" ref="L57:L76" si="5">C57</f>
        <v>46215</v>
      </c>
      <c r="M57" s="15"/>
      <c r="N57" s="12" t="s">
        <v>205</v>
      </c>
      <c r="O57" s="12" t="s">
        <v>206</v>
      </c>
      <c r="P57" s="12" t="s">
        <v>207</v>
      </c>
    </row>
    <row r="58" spans="1:16" ht="20" customHeight="1">
      <c r="A58" s="13">
        <v>54</v>
      </c>
      <c r="B58" s="13">
        <v>1</v>
      </c>
      <c r="C58" s="15">
        <f>总览!$C$5+B58-1</f>
        <v>46215</v>
      </c>
      <c r="D58" s="13" t="s">
        <v>19</v>
      </c>
      <c r="E58" s="12" t="s">
        <v>208</v>
      </c>
      <c r="F58" s="12" t="s">
        <v>209</v>
      </c>
      <c r="G58" s="13" t="s">
        <v>52</v>
      </c>
      <c r="H58" s="13" t="s">
        <v>69</v>
      </c>
      <c r="I58" s="17">
        <f t="shared" si="4"/>
        <v>0</v>
      </c>
      <c r="J58" s="13" t="s">
        <v>210</v>
      </c>
      <c r="K58" s="13" t="s">
        <v>204</v>
      </c>
      <c r="L58" s="15">
        <f t="shared" si="5"/>
        <v>46215</v>
      </c>
      <c r="M58" s="15"/>
      <c r="N58" s="12"/>
      <c r="O58" s="12" t="s">
        <v>211</v>
      </c>
      <c r="P58" s="12" t="s">
        <v>212</v>
      </c>
    </row>
    <row r="59" spans="1:16" ht="20" customHeight="1">
      <c r="A59" s="13">
        <v>55</v>
      </c>
      <c r="B59" s="13">
        <v>1</v>
      </c>
      <c r="C59" s="15">
        <f>总览!$C$5+B59-1</f>
        <v>46215</v>
      </c>
      <c r="D59" s="13" t="s">
        <v>33</v>
      </c>
      <c r="E59" s="12" t="s">
        <v>213</v>
      </c>
      <c r="F59" s="12" t="s">
        <v>214</v>
      </c>
      <c r="G59" s="13" t="s">
        <v>52</v>
      </c>
      <c r="H59" s="13" t="s">
        <v>107</v>
      </c>
      <c r="I59" s="17">
        <f t="shared" si="4"/>
        <v>0.5</v>
      </c>
      <c r="J59" s="13" t="s">
        <v>215</v>
      </c>
      <c r="K59" s="13" t="s">
        <v>54</v>
      </c>
      <c r="L59" s="15">
        <f t="shared" si="5"/>
        <v>46215</v>
      </c>
      <c r="M59" s="15"/>
      <c r="N59" s="12"/>
      <c r="O59" s="12" t="s">
        <v>216</v>
      </c>
      <c r="P59" s="12" t="s">
        <v>212</v>
      </c>
    </row>
    <row r="60" spans="1:16" ht="20" customHeight="1">
      <c r="A60" s="13">
        <v>56</v>
      </c>
      <c r="B60" s="13">
        <v>2</v>
      </c>
      <c r="C60" s="15">
        <f>总览!$C$5+B60-1</f>
        <v>46216</v>
      </c>
      <c r="D60" s="13" t="s">
        <v>19</v>
      </c>
      <c r="E60" s="12" t="s">
        <v>217</v>
      </c>
      <c r="F60" s="12" t="s">
        <v>218</v>
      </c>
      <c r="G60" s="13" t="s">
        <v>52</v>
      </c>
      <c r="H60" s="13" t="s">
        <v>69</v>
      </c>
      <c r="I60" s="17">
        <f t="shared" si="4"/>
        <v>0</v>
      </c>
      <c r="J60" s="13" t="s">
        <v>219</v>
      </c>
      <c r="K60" s="13" t="s">
        <v>220</v>
      </c>
      <c r="L60" s="15">
        <f t="shared" si="5"/>
        <v>46216</v>
      </c>
      <c r="M60" s="15"/>
      <c r="N60" s="12" t="s">
        <v>221</v>
      </c>
      <c r="O60" s="12" t="s">
        <v>222</v>
      </c>
      <c r="P60" s="12" t="s">
        <v>207</v>
      </c>
    </row>
    <row r="61" spans="1:16" ht="20" customHeight="1">
      <c r="A61" s="13">
        <v>57</v>
      </c>
      <c r="B61" s="13">
        <v>2</v>
      </c>
      <c r="C61" s="15">
        <f>总览!$C$5+B61-1</f>
        <v>46216</v>
      </c>
      <c r="D61" s="13" t="s">
        <v>19</v>
      </c>
      <c r="E61" s="12" t="s">
        <v>223</v>
      </c>
      <c r="F61" s="12" t="s">
        <v>224</v>
      </c>
      <c r="G61" s="13" t="s">
        <v>52</v>
      </c>
      <c r="H61" s="13" t="s">
        <v>69</v>
      </c>
      <c r="I61" s="17">
        <f t="shared" si="4"/>
        <v>0</v>
      </c>
      <c r="J61" s="13" t="s">
        <v>225</v>
      </c>
      <c r="K61" s="13" t="s">
        <v>220</v>
      </c>
      <c r="L61" s="15">
        <f t="shared" si="5"/>
        <v>46216</v>
      </c>
      <c r="M61" s="15"/>
      <c r="N61" s="12" t="s">
        <v>226</v>
      </c>
      <c r="O61" s="12" t="s">
        <v>227</v>
      </c>
      <c r="P61" s="12" t="s">
        <v>207</v>
      </c>
    </row>
    <row r="62" spans="1:16" ht="20" customHeight="1">
      <c r="A62" s="13">
        <v>58</v>
      </c>
      <c r="B62" s="13">
        <v>2</v>
      </c>
      <c r="C62" s="15">
        <f>总览!$C$5+B62-1</f>
        <v>46216</v>
      </c>
      <c r="D62" s="13" t="s">
        <v>19</v>
      </c>
      <c r="E62" s="12" t="s">
        <v>228</v>
      </c>
      <c r="F62" s="12" t="s">
        <v>229</v>
      </c>
      <c r="G62" s="13" t="s">
        <v>52</v>
      </c>
      <c r="H62" s="13" t="s">
        <v>69</v>
      </c>
      <c r="I62" s="17">
        <f t="shared" si="4"/>
        <v>0</v>
      </c>
      <c r="J62" s="13" t="s">
        <v>230</v>
      </c>
      <c r="K62" s="13" t="s">
        <v>220</v>
      </c>
      <c r="L62" s="15">
        <f t="shared" si="5"/>
        <v>46216</v>
      </c>
      <c r="M62" s="15"/>
      <c r="N62" s="12" t="s">
        <v>231</v>
      </c>
      <c r="O62" s="12" t="s">
        <v>232</v>
      </c>
      <c r="P62" s="12" t="s">
        <v>207</v>
      </c>
    </row>
    <row r="63" spans="1:16" ht="20" customHeight="1">
      <c r="A63" s="13">
        <v>59</v>
      </c>
      <c r="B63" s="13">
        <v>2</v>
      </c>
      <c r="C63" s="15">
        <f>总览!$C$5+B63-1</f>
        <v>46216</v>
      </c>
      <c r="D63" s="13" t="s">
        <v>19</v>
      </c>
      <c r="E63" s="12" t="s">
        <v>233</v>
      </c>
      <c r="F63" s="12" t="s">
        <v>234</v>
      </c>
      <c r="G63" s="13" t="s">
        <v>52</v>
      </c>
      <c r="H63" s="13" t="s">
        <v>69</v>
      </c>
      <c r="I63" s="17">
        <f t="shared" si="4"/>
        <v>0</v>
      </c>
      <c r="J63" s="13" t="s">
        <v>235</v>
      </c>
      <c r="K63" s="13" t="s">
        <v>220</v>
      </c>
      <c r="L63" s="15">
        <f t="shared" si="5"/>
        <v>46216</v>
      </c>
      <c r="M63" s="15"/>
      <c r="N63" s="12"/>
      <c r="O63" s="12" t="s">
        <v>236</v>
      </c>
      <c r="P63" s="12" t="s">
        <v>207</v>
      </c>
    </row>
    <row r="64" spans="1:16" ht="20" customHeight="1">
      <c r="A64" s="13">
        <v>60</v>
      </c>
      <c r="B64" s="13">
        <v>3</v>
      </c>
      <c r="C64" s="15">
        <f>总览!$C$5+B64-1</f>
        <v>46217</v>
      </c>
      <c r="D64" s="13" t="s">
        <v>19</v>
      </c>
      <c r="E64" s="12" t="s">
        <v>237</v>
      </c>
      <c r="F64" s="12" t="s">
        <v>238</v>
      </c>
      <c r="G64" s="13" t="s">
        <v>52</v>
      </c>
      <c r="H64" s="13" t="s">
        <v>69</v>
      </c>
      <c r="I64" s="17">
        <f t="shared" si="4"/>
        <v>0</v>
      </c>
      <c r="J64" s="13" t="s">
        <v>239</v>
      </c>
      <c r="K64" s="13" t="s">
        <v>220</v>
      </c>
      <c r="L64" s="15">
        <f t="shared" si="5"/>
        <v>46217</v>
      </c>
      <c r="M64" s="15"/>
      <c r="N64" s="12"/>
      <c r="O64" s="12" t="s">
        <v>240</v>
      </c>
      <c r="P64" s="12" t="s">
        <v>207</v>
      </c>
    </row>
    <row r="65" spans="1:16" ht="20" customHeight="1">
      <c r="A65" s="13">
        <v>61</v>
      </c>
      <c r="B65" s="13">
        <v>3</v>
      </c>
      <c r="C65" s="15">
        <f>总览!$C$5+B65-1</f>
        <v>46217</v>
      </c>
      <c r="D65" s="13" t="s">
        <v>19</v>
      </c>
      <c r="E65" s="12" t="s">
        <v>241</v>
      </c>
      <c r="F65" s="12" t="s">
        <v>242</v>
      </c>
      <c r="G65" s="13" t="s">
        <v>52</v>
      </c>
      <c r="H65" s="13" t="s">
        <v>107</v>
      </c>
      <c r="I65" s="17">
        <f t="shared" si="4"/>
        <v>0.5</v>
      </c>
      <c r="J65" s="13" t="s">
        <v>243</v>
      </c>
      <c r="K65" s="13" t="s">
        <v>220</v>
      </c>
      <c r="L65" s="15">
        <f t="shared" si="5"/>
        <v>46217</v>
      </c>
      <c r="M65" s="15"/>
      <c r="N65" s="12" t="s">
        <v>244</v>
      </c>
      <c r="O65" s="12" t="s">
        <v>245</v>
      </c>
      <c r="P65" s="12" t="s">
        <v>207</v>
      </c>
    </row>
    <row r="66" spans="1:16" ht="20" customHeight="1">
      <c r="A66" s="13">
        <v>62</v>
      </c>
      <c r="B66" s="13">
        <v>3</v>
      </c>
      <c r="C66" s="15">
        <f>总览!$C$5+B66-1</f>
        <v>46217</v>
      </c>
      <c r="D66" s="13" t="s">
        <v>19</v>
      </c>
      <c r="E66" s="12" t="s">
        <v>246</v>
      </c>
      <c r="F66" s="12" t="s">
        <v>247</v>
      </c>
      <c r="G66" s="13" t="s">
        <v>52</v>
      </c>
      <c r="H66" s="13" t="s">
        <v>69</v>
      </c>
      <c r="I66" s="17">
        <f t="shared" si="4"/>
        <v>0</v>
      </c>
      <c r="J66" s="13" t="s">
        <v>248</v>
      </c>
      <c r="K66" s="13" t="s">
        <v>220</v>
      </c>
      <c r="L66" s="15">
        <f t="shared" si="5"/>
        <v>46217</v>
      </c>
      <c r="M66" s="15"/>
      <c r="N66" s="12"/>
      <c r="O66" s="12" t="s">
        <v>249</v>
      </c>
      <c r="P66" s="12" t="s">
        <v>207</v>
      </c>
    </row>
    <row r="67" spans="1:16" ht="20" customHeight="1">
      <c r="A67" s="13">
        <v>63</v>
      </c>
      <c r="B67" s="13">
        <v>3</v>
      </c>
      <c r="C67" s="15">
        <f>总览!$C$5+B67-1</f>
        <v>46217</v>
      </c>
      <c r="D67" s="13" t="s">
        <v>19</v>
      </c>
      <c r="E67" s="12" t="s">
        <v>250</v>
      </c>
      <c r="F67" s="12" t="s">
        <v>251</v>
      </c>
      <c r="G67" s="13" t="s">
        <v>52</v>
      </c>
      <c r="H67" s="13" t="s">
        <v>69</v>
      </c>
      <c r="I67" s="17">
        <f t="shared" si="4"/>
        <v>0</v>
      </c>
      <c r="J67" s="13" t="s">
        <v>248</v>
      </c>
      <c r="K67" s="13" t="s">
        <v>220</v>
      </c>
      <c r="L67" s="15">
        <f t="shared" si="5"/>
        <v>46217</v>
      </c>
      <c r="M67" s="15"/>
      <c r="N67" s="12"/>
      <c r="O67" s="12" t="s">
        <v>252</v>
      </c>
      <c r="P67" s="12" t="s">
        <v>207</v>
      </c>
    </row>
    <row r="68" spans="1:16" ht="20" customHeight="1">
      <c r="A68" s="13">
        <v>64</v>
      </c>
      <c r="B68" s="13">
        <v>4</v>
      </c>
      <c r="C68" s="15">
        <f>总览!$C$5+B68-1</f>
        <v>46218</v>
      </c>
      <c r="D68" s="13" t="s">
        <v>19</v>
      </c>
      <c r="E68" s="12" t="s">
        <v>253</v>
      </c>
      <c r="F68" s="12" t="s">
        <v>254</v>
      </c>
      <c r="G68" s="13" t="s">
        <v>52</v>
      </c>
      <c r="H68" s="13" t="s">
        <v>69</v>
      </c>
      <c r="I68" s="17">
        <f t="shared" si="4"/>
        <v>0</v>
      </c>
      <c r="J68" s="13" t="s">
        <v>255</v>
      </c>
      <c r="K68" s="13" t="s">
        <v>220</v>
      </c>
      <c r="L68" s="15">
        <f t="shared" si="5"/>
        <v>46218</v>
      </c>
      <c r="M68" s="15"/>
      <c r="N68" s="12"/>
      <c r="O68" s="12" t="s">
        <v>256</v>
      </c>
      <c r="P68" s="12" t="s">
        <v>207</v>
      </c>
    </row>
    <row r="69" spans="1:16" ht="20" customHeight="1">
      <c r="A69" s="13">
        <v>65</v>
      </c>
      <c r="B69" s="13">
        <v>4</v>
      </c>
      <c r="C69" s="15">
        <f>总览!$C$5+B69-1</f>
        <v>46218</v>
      </c>
      <c r="D69" s="13" t="s">
        <v>21</v>
      </c>
      <c r="E69" s="12" t="s">
        <v>257</v>
      </c>
      <c r="F69" s="12" t="s">
        <v>258</v>
      </c>
      <c r="G69" s="13" t="s">
        <v>52</v>
      </c>
      <c r="H69" s="13" t="s">
        <v>107</v>
      </c>
      <c r="I69" s="17">
        <f t="shared" si="4"/>
        <v>0.5</v>
      </c>
      <c r="J69" s="13" t="s">
        <v>259</v>
      </c>
      <c r="K69" s="13" t="s">
        <v>204</v>
      </c>
      <c r="L69" s="15">
        <f t="shared" si="5"/>
        <v>46218</v>
      </c>
      <c r="M69" s="15"/>
      <c r="N69" s="12" t="s">
        <v>260</v>
      </c>
      <c r="O69" s="12" t="s">
        <v>261</v>
      </c>
      <c r="P69" s="12" t="s">
        <v>262</v>
      </c>
    </row>
    <row r="70" spans="1:16" ht="20" customHeight="1">
      <c r="A70" s="13">
        <v>66</v>
      </c>
      <c r="B70" s="13">
        <v>4</v>
      </c>
      <c r="C70" s="15">
        <f>总览!$C$5+B70-1</f>
        <v>46218</v>
      </c>
      <c r="D70" s="13" t="s">
        <v>19</v>
      </c>
      <c r="E70" s="12" t="s">
        <v>263</v>
      </c>
      <c r="F70" s="12" t="s">
        <v>264</v>
      </c>
      <c r="G70" s="13" t="s">
        <v>52</v>
      </c>
      <c r="H70" s="13" t="s">
        <v>69</v>
      </c>
      <c r="I70" s="17">
        <f t="shared" si="4"/>
        <v>0</v>
      </c>
      <c r="J70" s="13" t="s">
        <v>265</v>
      </c>
      <c r="K70" s="13" t="s">
        <v>220</v>
      </c>
      <c r="L70" s="15">
        <f t="shared" si="5"/>
        <v>46218</v>
      </c>
      <c r="M70" s="15"/>
      <c r="N70" s="12"/>
      <c r="O70" s="12" t="s">
        <v>266</v>
      </c>
      <c r="P70" s="12" t="s">
        <v>207</v>
      </c>
    </row>
    <row r="71" spans="1:16" ht="20" customHeight="1">
      <c r="A71" s="13">
        <v>67</v>
      </c>
      <c r="B71" s="13">
        <v>5</v>
      </c>
      <c r="C71" s="15">
        <f>总览!$C$5+B71-1</f>
        <v>46219</v>
      </c>
      <c r="D71" s="13" t="s">
        <v>31</v>
      </c>
      <c r="E71" s="12" t="s">
        <v>267</v>
      </c>
      <c r="F71" s="12" t="s">
        <v>268</v>
      </c>
      <c r="G71" s="13" t="s">
        <v>52</v>
      </c>
      <c r="H71" s="13" t="s">
        <v>69</v>
      </c>
      <c r="I71" s="17">
        <f t="shared" si="4"/>
        <v>0</v>
      </c>
      <c r="J71" s="13" t="s">
        <v>269</v>
      </c>
      <c r="K71" s="13" t="s">
        <v>220</v>
      </c>
      <c r="L71" s="15">
        <f t="shared" si="5"/>
        <v>46219</v>
      </c>
      <c r="M71" s="15"/>
      <c r="N71" s="12" t="s">
        <v>270</v>
      </c>
      <c r="O71" s="12" t="s">
        <v>271</v>
      </c>
      <c r="P71" s="12" t="s">
        <v>272</v>
      </c>
    </row>
    <row r="72" spans="1:16" ht="20" customHeight="1">
      <c r="A72" s="13">
        <v>68</v>
      </c>
      <c r="B72" s="13">
        <v>5</v>
      </c>
      <c r="C72" s="15">
        <f>总览!$C$5+B72-1</f>
        <v>46219</v>
      </c>
      <c r="D72" s="13" t="s">
        <v>31</v>
      </c>
      <c r="E72" s="12" t="s">
        <v>273</v>
      </c>
      <c r="F72" s="12" t="s">
        <v>274</v>
      </c>
      <c r="G72" s="13" t="s">
        <v>52</v>
      </c>
      <c r="H72" s="13" t="s">
        <v>69</v>
      </c>
      <c r="I72" s="17">
        <f t="shared" si="4"/>
        <v>0</v>
      </c>
      <c r="J72" s="13" t="s">
        <v>275</v>
      </c>
      <c r="K72" s="13" t="s">
        <v>276</v>
      </c>
      <c r="L72" s="15">
        <f t="shared" si="5"/>
        <v>46219</v>
      </c>
      <c r="M72" s="15"/>
      <c r="N72" s="12" t="s">
        <v>277</v>
      </c>
      <c r="O72" s="12" t="s">
        <v>278</v>
      </c>
      <c r="P72" s="12" t="s">
        <v>279</v>
      </c>
    </row>
    <row r="73" spans="1:16" ht="20" customHeight="1">
      <c r="A73" s="13">
        <v>69</v>
      </c>
      <c r="B73" s="13">
        <v>5</v>
      </c>
      <c r="C73" s="15">
        <f>总览!$C$5+B73-1</f>
        <v>46219</v>
      </c>
      <c r="D73" s="13" t="s">
        <v>31</v>
      </c>
      <c r="E73" s="12" t="s">
        <v>280</v>
      </c>
      <c r="F73" s="12" t="s">
        <v>281</v>
      </c>
      <c r="G73" s="13" t="s">
        <v>52</v>
      </c>
      <c r="H73" s="13" t="s">
        <v>69</v>
      </c>
      <c r="I73" s="17">
        <f t="shared" si="4"/>
        <v>0</v>
      </c>
      <c r="J73" s="13" t="s">
        <v>282</v>
      </c>
      <c r="K73" s="13" t="s">
        <v>220</v>
      </c>
      <c r="L73" s="15">
        <f t="shared" si="5"/>
        <v>46219</v>
      </c>
      <c r="M73" s="15"/>
      <c r="N73" s="12"/>
      <c r="O73" s="12" t="s">
        <v>283</v>
      </c>
      <c r="P73" s="12" t="s">
        <v>272</v>
      </c>
    </row>
    <row r="74" spans="1:16" ht="20" customHeight="1">
      <c r="A74" s="13">
        <v>70</v>
      </c>
      <c r="B74" s="13">
        <v>6</v>
      </c>
      <c r="C74" s="15">
        <f>总览!$C$5+B74-1</f>
        <v>46220</v>
      </c>
      <c r="D74" s="13" t="s">
        <v>33</v>
      </c>
      <c r="E74" s="12" t="s">
        <v>284</v>
      </c>
      <c r="F74" s="12" t="s">
        <v>285</v>
      </c>
      <c r="G74" s="13" t="s">
        <v>52</v>
      </c>
      <c r="H74" s="13" t="s">
        <v>69</v>
      </c>
      <c r="I74" s="17">
        <f t="shared" si="4"/>
        <v>0</v>
      </c>
      <c r="J74" s="13" t="s">
        <v>215</v>
      </c>
      <c r="K74" s="13" t="s">
        <v>204</v>
      </c>
      <c r="L74" s="15">
        <f t="shared" si="5"/>
        <v>46220</v>
      </c>
      <c r="M74" s="15"/>
      <c r="N74" s="12"/>
      <c r="O74" s="12" t="s">
        <v>286</v>
      </c>
      <c r="P74" s="12" t="s">
        <v>212</v>
      </c>
    </row>
    <row r="75" spans="1:16" ht="20" customHeight="1">
      <c r="A75" s="13">
        <v>71</v>
      </c>
      <c r="B75" s="13">
        <v>6</v>
      </c>
      <c r="C75" s="15">
        <f>总览!$C$5+B75-1</f>
        <v>46220</v>
      </c>
      <c r="D75" s="13" t="s">
        <v>33</v>
      </c>
      <c r="E75" s="12" t="s">
        <v>287</v>
      </c>
      <c r="F75" s="12" t="s">
        <v>288</v>
      </c>
      <c r="G75" s="13" t="s">
        <v>52</v>
      </c>
      <c r="H75" s="13" t="s">
        <v>69</v>
      </c>
      <c r="I75" s="17">
        <f t="shared" si="4"/>
        <v>0</v>
      </c>
      <c r="J75" s="13" t="s">
        <v>289</v>
      </c>
      <c r="K75" s="13" t="s">
        <v>204</v>
      </c>
      <c r="L75" s="15">
        <f t="shared" si="5"/>
        <v>46220</v>
      </c>
      <c r="M75" s="15"/>
      <c r="N75" s="12"/>
      <c r="O75" s="12" t="s">
        <v>290</v>
      </c>
      <c r="P75" s="12" t="s">
        <v>291</v>
      </c>
    </row>
    <row r="76" spans="1:16" ht="20" customHeight="1">
      <c r="A76" s="13">
        <v>72</v>
      </c>
      <c r="B76" s="13">
        <v>7</v>
      </c>
      <c r="C76" s="15">
        <f>总览!$C$5+B76-1</f>
        <v>46221</v>
      </c>
      <c r="D76" s="13" t="s">
        <v>33</v>
      </c>
      <c r="E76" s="12" t="s">
        <v>292</v>
      </c>
      <c r="F76" s="12" t="s">
        <v>293</v>
      </c>
      <c r="G76" s="13" t="s">
        <v>52</v>
      </c>
      <c r="H76" s="13" t="s">
        <v>69</v>
      </c>
      <c r="I76" s="17">
        <f t="shared" si="4"/>
        <v>0</v>
      </c>
      <c r="J76" s="13" t="s">
        <v>294</v>
      </c>
      <c r="K76" s="13" t="s">
        <v>204</v>
      </c>
      <c r="L76" s="15">
        <f t="shared" si="5"/>
        <v>46221</v>
      </c>
      <c r="M76" s="15"/>
      <c r="N76" s="12"/>
      <c r="O76" s="12" t="s">
        <v>295</v>
      </c>
      <c r="P76" s="12" t="s">
        <v>296</v>
      </c>
    </row>
  </sheetData>
  <mergeCells count="2">
    <mergeCell ref="A1:P2"/>
    <mergeCell ref="A3:P3"/>
  </mergeCells>
  <phoneticPr fontId="22" type="noConversion"/>
  <conditionalFormatting sqref="G5:G56">
    <cfRule type="expression" dxfId="68" priority="7">
      <formula>G5="P0"</formula>
    </cfRule>
    <cfRule type="expression" dxfId="67" priority="8">
      <formula>G5="P1"</formula>
    </cfRule>
    <cfRule type="expression" dxfId="66" priority="9">
      <formula>G5="P2"</formula>
    </cfRule>
  </conditionalFormatting>
  <conditionalFormatting sqref="G5:G76">
    <cfRule type="expression" dxfId="65" priority="13">
      <formula>G5="P0"</formula>
    </cfRule>
    <cfRule type="expression" dxfId="64" priority="14">
      <formula>G5="P1"</formula>
    </cfRule>
    <cfRule type="expression" dxfId="63" priority="15">
      <formula>G5="P2"</formula>
    </cfRule>
  </conditionalFormatting>
  <conditionalFormatting sqref="H5:H56">
    <cfRule type="expression" dxfId="62" priority="2">
      <formula>H5="已完成"</formula>
    </cfRule>
    <cfRule type="expression" dxfId="61" priority="3">
      <formula>H5="进行中"</formula>
    </cfRule>
    <cfRule type="expression" dxfId="60" priority="4">
      <formula>H5="待审核"</formula>
    </cfRule>
    <cfRule type="expression" dxfId="59" priority="5">
      <formula>H5="已阻塞"</formula>
    </cfRule>
    <cfRule type="expression" dxfId="58" priority="6">
      <formula>H5="未开始"</formula>
    </cfRule>
  </conditionalFormatting>
  <conditionalFormatting sqref="H5:H76">
    <cfRule type="expression" dxfId="57" priority="16">
      <formula>H5="已完成"</formula>
    </cfRule>
    <cfRule type="expression" dxfId="56" priority="17">
      <formula>H5="进行中"</formula>
    </cfRule>
    <cfRule type="expression" dxfId="55" priority="18">
      <formula>H5="待审核"</formula>
    </cfRule>
    <cfRule type="expression" dxfId="54" priority="19">
      <formula>H5="已阻塞"</formula>
    </cfRule>
    <cfRule type="expression" dxfId="53" priority="20">
      <formula>H5="待确认"</formula>
    </cfRule>
    <cfRule type="expression" dxfId="52" priority="21">
      <formula>H5="未开始"</formula>
    </cfRule>
  </conditionalFormatting>
  <conditionalFormatting sqref="I5:I56">
    <cfRule type="dataBar" priority="1">
      <dataBar>
        <cfvo type="min"/>
        <cfvo type="max"/>
        <color rgb="FF7C3AED"/>
      </dataBar>
    </cfRule>
    <cfRule type="dataBar" priority="11">
      <dataBar>
        <cfvo type="min"/>
        <cfvo type="max"/>
        <color rgb="FF7C3AED"/>
      </dataBar>
    </cfRule>
    <cfRule type="dataBar" priority="22">
      <dataBar>
        <cfvo type="min"/>
        <cfvo type="max"/>
        <color rgb="FF7C3AED"/>
      </dataBar>
    </cfRule>
    <cfRule type="dataBar" priority="24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{DA5B03D3-CCC9-9FC4-27C1-955FAF91639A}</x14:id>
        </ext>
      </extLst>
    </cfRule>
  </conditionalFormatting>
  <conditionalFormatting sqref="I5:I76">
    <cfRule type="dataBar" priority="12">
      <dataBar>
        <cfvo type="min"/>
        <cfvo type="max"/>
        <color rgb="FF7C3AED"/>
      </dataBar>
    </cfRule>
    <cfRule type="dataBar" priority="23">
      <dataBar>
        <cfvo type="min"/>
        <cfvo type="max"/>
        <color rgb="FF7C3AED"/>
      </dataBar>
    </cfRule>
    <cfRule type="dataBar" priority="25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{0A9E0B0D-5F2D-02DF-4C80-9E094D9DDC09}</x14:id>
        </ext>
      </extLst>
    </cfRule>
  </conditionalFormatting>
  <dataValidations count="3">
    <dataValidation type="list" sqref="G5:G200" xr:uid="{00000000-0002-0000-0100-000000000000}">
      <formula1>"P0,P1,P2"</formula1>
    </dataValidation>
    <dataValidation type="list" sqref="H5:H56" xr:uid="{00000000-0002-0000-0100-000001000000}">
      <formula1>"未开始,进行中,待审核,已完成,已阻塞"</formula1>
    </dataValidation>
    <dataValidation type="list" sqref="H5:H200" xr:uid="{00000000-0002-0000-0100-000002000000}">
      <formula1>"未开始,待确认,进行中,待审核,已完成,已阻塞,不适用"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5B03D3-CCC9-9FC4-27C1-955FAF91639A}">
            <x14:dataBar>
              <x14:cfvo type="min"/>
              <x14:cfvo type="max"/>
              <x14:negativeFillColor auto="1"/>
              <x14:axisColor auto="1"/>
            </x14:dataBar>
          </x14:cfRule>
          <xm:sqref>I5:I56</xm:sqref>
        </x14:conditionalFormatting>
        <x14:conditionalFormatting xmlns:xm="http://schemas.microsoft.com/office/excel/2006/main">
          <x14:cfRule type="dataBar" id="{0A9E0B0D-5F2D-02DF-4C80-9E094D9DDC09}">
            <x14:dataBar>
              <x14:cfvo type="min"/>
              <x14:cfvo type="max"/>
              <x14:negativeFillColor auto="1"/>
              <x14:axisColor auto="1"/>
            </x14:dataBar>
          </x14:cfRule>
          <xm:sqref>I5:I76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E11" sqref="E11"/>
    </sheetView>
  </sheetViews>
  <sheetFormatPr defaultRowHeight="13.5"/>
  <cols>
    <col min="1" max="1" width="14" customWidth="1"/>
    <col min="2" max="2" width="22" customWidth="1"/>
    <col min="3" max="3" width="26" customWidth="1"/>
    <col min="4" max="4" width="24" customWidth="1"/>
    <col min="5" max="7" width="12" customWidth="1"/>
    <col min="8" max="9" width="28" customWidth="1"/>
    <col min="10" max="10" width="26" customWidth="1"/>
  </cols>
  <sheetData>
    <row r="1" spans="1:10">
      <c r="A1" s="27" t="s">
        <v>297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8" t="s">
        <v>298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3.9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</row>
    <row r="5" spans="1:10" ht="20" customHeight="1">
      <c r="A5" s="9" t="s">
        <v>309</v>
      </c>
      <c r="B5" s="9" t="s">
        <v>310</v>
      </c>
      <c r="C5" s="9" t="s">
        <v>311</v>
      </c>
      <c r="D5" s="9"/>
      <c r="E5" s="9" t="s">
        <v>7</v>
      </c>
      <c r="F5" s="9" t="s">
        <v>69</v>
      </c>
      <c r="G5" s="9" t="s">
        <v>312</v>
      </c>
      <c r="H5" s="9"/>
      <c r="I5" s="9" t="s">
        <v>313</v>
      </c>
      <c r="J5" s="9"/>
    </row>
    <row r="6" spans="1:10" ht="20" customHeight="1">
      <c r="A6" s="9" t="s">
        <v>309</v>
      </c>
      <c r="B6" s="9" t="s">
        <v>115</v>
      </c>
      <c r="C6" s="9" t="s">
        <v>314</v>
      </c>
      <c r="D6" s="9" t="s">
        <v>315</v>
      </c>
      <c r="E6" s="9" t="s">
        <v>7</v>
      </c>
      <c r="F6" s="9" t="s">
        <v>69</v>
      </c>
      <c r="G6" s="9" t="s">
        <v>312</v>
      </c>
      <c r="H6" s="9"/>
      <c r="I6" s="9" t="s">
        <v>316</v>
      </c>
      <c r="J6" s="9"/>
    </row>
    <row r="7" spans="1:10" ht="20" customHeight="1">
      <c r="A7" s="9" t="s">
        <v>317</v>
      </c>
      <c r="B7" s="9" t="s">
        <v>66</v>
      </c>
      <c r="C7" s="9" t="s">
        <v>318</v>
      </c>
      <c r="D7" s="9"/>
      <c r="E7" s="9" t="s">
        <v>319</v>
      </c>
      <c r="F7" s="9" t="s">
        <v>107</v>
      </c>
      <c r="G7" s="9" t="s">
        <v>320</v>
      </c>
      <c r="H7" s="9"/>
      <c r="I7" s="9" t="s">
        <v>321</v>
      </c>
      <c r="J7" s="9" t="s">
        <v>322</v>
      </c>
    </row>
    <row r="8" spans="1:10" ht="20" customHeight="1">
      <c r="A8" s="9" t="s">
        <v>323</v>
      </c>
      <c r="B8" s="9" t="s">
        <v>77</v>
      </c>
      <c r="C8" s="9" t="s">
        <v>324</v>
      </c>
      <c r="D8" s="9"/>
      <c r="E8" s="9" t="s">
        <v>69</v>
      </c>
      <c r="F8" s="9" t="s">
        <v>69</v>
      </c>
      <c r="G8" s="9" t="s">
        <v>312</v>
      </c>
      <c r="H8" s="9"/>
      <c r="I8" s="9" t="s">
        <v>325</v>
      </c>
      <c r="J8" s="9"/>
    </row>
    <row r="9" spans="1:10" ht="20" customHeight="1">
      <c r="A9" s="9" t="s">
        <v>323</v>
      </c>
      <c r="B9" s="9" t="s">
        <v>80</v>
      </c>
      <c r="C9" s="9" t="s">
        <v>326</v>
      </c>
      <c r="D9" s="9"/>
      <c r="E9" s="9" t="s">
        <v>69</v>
      </c>
      <c r="F9" s="9" t="s">
        <v>69</v>
      </c>
      <c r="G9" s="9" t="s">
        <v>312</v>
      </c>
      <c r="H9" s="9"/>
      <c r="I9" s="9" t="s">
        <v>327</v>
      </c>
      <c r="J9" s="9"/>
    </row>
    <row r="10" spans="1:10" ht="20" customHeight="1">
      <c r="A10" s="9" t="s">
        <v>323</v>
      </c>
      <c r="B10" s="9" t="s">
        <v>83</v>
      </c>
      <c r="C10" s="9" t="s">
        <v>328</v>
      </c>
      <c r="D10" s="9"/>
      <c r="E10" s="9" t="s">
        <v>69</v>
      </c>
      <c r="F10" s="9" t="s">
        <v>69</v>
      </c>
      <c r="G10" s="9" t="s">
        <v>312</v>
      </c>
      <c r="H10" s="9"/>
      <c r="I10" s="9" t="s">
        <v>329</v>
      </c>
      <c r="J10" s="9"/>
    </row>
    <row r="11" spans="1:10" ht="20" customHeight="1">
      <c r="A11" s="9" t="s">
        <v>323</v>
      </c>
      <c r="B11" s="9" t="s">
        <v>86</v>
      </c>
      <c r="C11" s="9" t="s">
        <v>330</v>
      </c>
      <c r="D11" s="9"/>
      <c r="E11" s="9" t="s">
        <v>69</v>
      </c>
      <c r="F11" s="9" t="s">
        <v>69</v>
      </c>
      <c r="G11" s="9" t="s">
        <v>312</v>
      </c>
      <c r="H11" s="9"/>
      <c r="I11" s="9" t="s">
        <v>331</v>
      </c>
      <c r="J11" s="9"/>
    </row>
    <row r="12" spans="1:10" ht="20" customHeight="1">
      <c r="A12" s="9" t="s">
        <v>332</v>
      </c>
      <c r="B12" s="9" t="s">
        <v>89</v>
      </c>
      <c r="C12" s="9" t="s">
        <v>333</v>
      </c>
      <c r="D12" s="9"/>
      <c r="E12" s="9" t="s">
        <v>69</v>
      </c>
      <c r="F12" s="9" t="s">
        <v>69</v>
      </c>
      <c r="G12" s="9" t="s">
        <v>312</v>
      </c>
      <c r="H12" s="9"/>
      <c r="I12" s="9" t="s">
        <v>334</v>
      </c>
      <c r="J12" s="9"/>
    </row>
    <row r="13" spans="1:10" ht="20" customHeight="1">
      <c r="A13" s="9" t="s">
        <v>335</v>
      </c>
      <c r="B13" s="9" t="s">
        <v>92</v>
      </c>
      <c r="C13" s="9" t="s">
        <v>336</v>
      </c>
      <c r="D13" s="9"/>
      <c r="E13" s="9" t="s">
        <v>69</v>
      </c>
      <c r="F13" s="9" t="s">
        <v>69</v>
      </c>
      <c r="G13" s="9" t="s">
        <v>320</v>
      </c>
      <c r="H13" s="9"/>
      <c r="I13" s="9" t="s">
        <v>337</v>
      </c>
      <c r="J13" s="9"/>
    </row>
    <row r="14" spans="1:10" ht="20" customHeight="1">
      <c r="A14" s="9" t="s">
        <v>338</v>
      </c>
      <c r="B14" s="9" t="s">
        <v>339</v>
      </c>
      <c r="C14" s="9" t="s">
        <v>340</v>
      </c>
      <c r="D14" s="9"/>
      <c r="E14" s="9" t="s">
        <v>69</v>
      </c>
      <c r="F14" s="9" t="s">
        <v>69</v>
      </c>
      <c r="G14" s="9" t="s">
        <v>312</v>
      </c>
      <c r="H14" s="9"/>
      <c r="I14" s="9" t="s">
        <v>341</v>
      </c>
      <c r="J14" s="9"/>
    </row>
    <row r="15" spans="1:10" ht="20" customHeight="1">
      <c r="A15" s="9" t="s">
        <v>338</v>
      </c>
      <c r="B15" s="9" t="s">
        <v>342</v>
      </c>
      <c r="C15" s="9" t="s">
        <v>343</v>
      </c>
      <c r="D15" s="9"/>
      <c r="E15" s="9" t="s">
        <v>69</v>
      </c>
      <c r="F15" s="9" t="s">
        <v>69</v>
      </c>
      <c r="G15" s="9" t="s">
        <v>312</v>
      </c>
      <c r="H15" s="9"/>
      <c r="I15" s="9" t="s">
        <v>341</v>
      </c>
      <c r="J15" s="9"/>
    </row>
    <row r="16" spans="1:10" ht="20" customHeight="1">
      <c r="A16" s="9" t="s">
        <v>338</v>
      </c>
      <c r="B16" s="9" t="s">
        <v>344</v>
      </c>
      <c r="C16" s="9" t="s">
        <v>345</v>
      </c>
      <c r="D16" s="9"/>
      <c r="E16" s="9" t="s">
        <v>69</v>
      </c>
      <c r="F16" s="9" t="s">
        <v>69</v>
      </c>
      <c r="G16" s="9" t="s">
        <v>312</v>
      </c>
      <c r="H16" s="9"/>
      <c r="I16" s="9" t="s">
        <v>341</v>
      </c>
      <c r="J16" s="9"/>
    </row>
    <row r="17" spans="1:10" ht="20" customHeight="1">
      <c r="A17" s="9" t="s">
        <v>346</v>
      </c>
      <c r="B17" s="9" t="s">
        <v>347</v>
      </c>
      <c r="C17" s="9" t="s">
        <v>348</v>
      </c>
      <c r="D17" s="9"/>
      <c r="E17" s="9" t="s">
        <v>69</v>
      </c>
      <c r="F17" s="9" t="s">
        <v>69</v>
      </c>
      <c r="G17" s="9" t="s">
        <v>349</v>
      </c>
      <c r="H17" s="9"/>
      <c r="I17" s="9" t="s">
        <v>350</v>
      </c>
      <c r="J17" s="9"/>
    </row>
    <row r="18" spans="1:10" ht="20" customHeight="1">
      <c r="A18" s="9" t="s">
        <v>346</v>
      </c>
      <c r="B18" s="9" t="s">
        <v>351</v>
      </c>
      <c r="C18" s="9" t="s">
        <v>352</v>
      </c>
      <c r="D18" s="9"/>
      <c r="E18" s="9" t="s">
        <v>69</v>
      </c>
      <c r="F18" s="9" t="s">
        <v>69</v>
      </c>
      <c r="G18" s="9" t="s">
        <v>353</v>
      </c>
      <c r="H18" s="9"/>
      <c r="I18" s="9" t="s">
        <v>354</v>
      </c>
      <c r="J18" s="9"/>
    </row>
  </sheetData>
  <mergeCells count="2">
    <mergeCell ref="A1:J2"/>
    <mergeCell ref="A3:J3"/>
  </mergeCells>
  <phoneticPr fontId="22" type="noConversion"/>
  <conditionalFormatting sqref="E5:G18">
    <cfRule type="expression" dxfId="51" priority="1">
      <formula>E5="已完成"</formula>
    </cfRule>
    <cfRule type="expression" dxfId="50" priority="2">
      <formula>E5="已通过"</formula>
    </cfRule>
    <cfRule type="expression" dxfId="49" priority="3">
      <formula>E5="已阻塞"</formula>
    </cfRule>
  </conditionalFormatting>
  <dataValidations count="1">
    <dataValidation type="list" sqref="E5:G18" xr:uid="{00000000-0002-0000-0200-000000000000}">
      <formula1>"未开始,进行中,待审核,已完成,已通过,已注册,已阻塞,不适用,待联系,待研究"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sqref="A1:H2"/>
    </sheetView>
  </sheetViews>
  <sheetFormatPr defaultRowHeight="13.5"/>
  <cols>
    <col min="1" max="1" width="16" customWidth="1"/>
    <col min="2" max="2" width="26" customWidth="1"/>
    <col min="3" max="3" width="38" customWidth="1"/>
    <col min="4" max="4" width="10" customWidth="1"/>
    <col min="5" max="5" width="12" customWidth="1"/>
    <col min="6" max="6" width="30" customWidth="1"/>
    <col min="7" max="7" width="10" customWidth="1"/>
    <col min="8" max="8" width="28" customWidth="1"/>
  </cols>
  <sheetData>
    <row r="1" spans="1:8">
      <c r="A1" s="27" t="s">
        <v>355</v>
      </c>
      <c r="B1" s="27"/>
      <c r="C1" s="27"/>
      <c r="D1" s="27"/>
      <c r="E1" s="27"/>
      <c r="F1" s="27"/>
      <c r="G1" s="27"/>
      <c r="H1" s="27"/>
    </row>
    <row r="2" spans="1:8">
      <c r="A2" s="27"/>
      <c r="B2" s="27"/>
      <c r="C2" s="27"/>
      <c r="D2" s="27"/>
      <c r="E2" s="27"/>
      <c r="F2" s="27"/>
      <c r="G2" s="27"/>
      <c r="H2" s="27"/>
    </row>
    <row r="3" spans="1:8" ht="13.9">
      <c r="A3" s="43" t="s">
        <v>356</v>
      </c>
      <c r="B3" s="43"/>
      <c r="C3" s="43"/>
      <c r="D3" s="43"/>
      <c r="E3" s="43"/>
      <c r="F3" s="43"/>
      <c r="G3" s="43"/>
      <c r="H3" s="43"/>
    </row>
    <row r="4" spans="1:8" ht="13.9">
      <c r="A4" s="3" t="s">
        <v>13</v>
      </c>
      <c r="B4" s="3" t="s">
        <v>357</v>
      </c>
      <c r="C4" s="3" t="s">
        <v>358</v>
      </c>
      <c r="D4" s="3" t="s">
        <v>359</v>
      </c>
      <c r="E4" s="3" t="s">
        <v>41</v>
      </c>
      <c r="F4" s="3" t="s">
        <v>360</v>
      </c>
      <c r="G4" s="3" t="s">
        <v>44</v>
      </c>
      <c r="H4" s="3" t="s">
        <v>308</v>
      </c>
    </row>
    <row r="5" spans="1:8" ht="9" customHeight="1">
      <c r="A5" s="9" t="s">
        <v>309</v>
      </c>
      <c r="B5" s="9" t="s">
        <v>361</v>
      </c>
      <c r="C5" s="9" t="s">
        <v>362</v>
      </c>
      <c r="D5" s="9" t="s">
        <v>363</v>
      </c>
      <c r="E5" s="9" t="s">
        <v>7</v>
      </c>
      <c r="F5" s="9"/>
      <c r="G5" s="9" t="s">
        <v>54</v>
      </c>
      <c r="H5" s="9"/>
    </row>
    <row r="6" spans="1:8" ht="9" customHeight="1">
      <c r="A6" s="9" t="s">
        <v>309</v>
      </c>
      <c r="B6" s="9" t="s">
        <v>364</v>
      </c>
      <c r="C6" s="9" t="s">
        <v>365</v>
      </c>
      <c r="D6" s="9" t="s">
        <v>363</v>
      </c>
      <c r="E6" s="9" t="s">
        <v>7</v>
      </c>
      <c r="F6" s="9"/>
      <c r="G6" s="9" t="s">
        <v>54</v>
      </c>
      <c r="H6" s="9"/>
    </row>
    <row r="7" spans="1:8" ht="9" customHeight="1">
      <c r="A7" s="9" t="s">
        <v>366</v>
      </c>
      <c r="B7" s="9" t="s">
        <v>367</v>
      </c>
      <c r="C7" s="9" t="s">
        <v>368</v>
      </c>
      <c r="D7" s="9" t="s">
        <v>363</v>
      </c>
      <c r="E7" s="9" t="s">
        <v>69</v>
      </c>
      <c r="F7" s="9"/>
      <c r="G7" s="9" t="s">
        <v>54</v>
      </c>
      <c r="H7" s="9"/>
    </row>
    <row r="8" spans="1:8" ht="9" customHeight="1">
      <c r="A8" s="9" t="s">
        <v>366</v>
      </c>
      <c r="B8" s="9" t="s">
        <v>369</v>
      </c>
      <c r="C8" s="9" t="s">
        <v>370</v>
      </c>
      <c r="D8" s="9" t="s">
        <v>363</v>
      </c>
      <c r="E8" s="9" t="s">
        <v>69</v>
      </c>
      <c r="F8" s="9"/>
      <c r="G8" s="9" t="s">
        <v>54</v>
      </c>
      <c r="H8" s="9"/>
    </row>
    <row r="9" spans="1:8" ht="9" customHeight="1">
      <c r="A9" s="9" t="s">
        <v>371</v>
      </c>
      <c r="B9" s="9" t="s">
        <v>339</v>
      </c>
      <c r="C9" s="9" t="s">
        <v>372</v>
      </c>
      <c r="D9" s="9" t="s">
        <v>363</v>
      </c>
      <c r="E9" s="9" t="s">
        <v>7</v>
      </c>
      <c r="F9" s="9"/>
      <c r="G9" s="9" t="s">
        <v>54</v>
      </c>
      <c r="H9" s="9"/>
    </row>
    <row r="10" spans="1:8" ht="9" customHeight="1">
      <c r="A10" s="9" t="s">
        <v>371</v>
      </c>
      <c r="B10" s="9" t="s">
        <v>342</v>
      </c>
      <c r="C10" s="9" t="s">
        <v>372</v>
      </c>
      <c r="D10" s="9" t="s">
        <v>363</v>
      </c>
      <c r="E10" s="9" t="s">
        <v>7</v>
      </c>
      <c r="F10" s="9"/>
      <c r="G10" s="9" t="s">
        <v>54</v>
      </c>
      <c r="H10" s="9"/>
    </row>
    <row r="11" spans="1:8" ht="9" customHeight="1">
      <c r="A11" s="9" t="s">
        <v>371</v>
      </c>
      <c r="B11" s="9" t="s">
        <v>344</v>
      </c>
      <c r="C11" s="9" t="s">
        <v>373</v>
      </c>
      <c r="D11" s="9" t="s">
        <v>363</v>
      </c>
      <c r="E11" s="9" t="s">
        <v>7</v>
      </c>
      <c r="F11" s="9"/>
      <c r="G11" s="9" t="s">
        <v>54</v>
      </c>
      <c r="H11" s="9"/>
    </row>
    <row r="12" spans="1:8" ht="9" customHeight="1">
      <c r="A12" s="9" t="s">
        <v>374</v>
      </c>
      <c r="B12" s="9" t="s">
        <v>375</v>
      </c>
      <c r="C12" s="9" t="s">
        <v>376</v>
      </c>
      <c r="D12" s="9" t="s">
        <v>363</v>
      </c>
      <c r="E12" s="9" t="s">
        <v>69</v>
      </c>
      <c r="F12" s="9"/>
      <c r="G12" s="9" t="s">
        <v>54</v>
      </c>
      <c r="H12" s="9"/>
    </row>
    <row r="13" spans="1:8" ht="9" customHeight="1">
      <c r="A13" s="9" t="s">
        <v>374</v>
      </c>
      <c r="B13" s="9" t="s">
        <v>377</v>
      </c>
      <c r="C13" s="9" t="s">
        <v>378</v>
      </c>
      <c r="D13" s="9" t="s">
        <v>363</v>
      </c>
      <c r="E13" s="9" t="s">
        <v>69</v>
      </c>
      <c r="F13" s="9"/>
      <c r="G13" s="9" t="s">
        <v>54</v>
      </c>
      <c r="H13" s="9"/>
    </row>
    <row r="14" spans="1:8" ht="9" customHeight="1">
      <c r="A14" s="9" t="s">
        <v>374</v>
      </c>
      <c r="B14" s="9" t="s">
        <v>379</v>
      </c>
      <c r="C14" s="9" t="s">
        <v>380</v>
      </c>
      <c r="D14" s="9" t="s">
        <v>363</v>
      </c>
      <c r="E14" s="9" t="s">
        <v>69</v>
      </c>
      <c r="F14" s="9"/>
      <c r="G14" s="9" t="s">
        <v>54</v>
      </c>
      <c r="H14" s="9"/>
    </row>
    <row r="15" spans="1:8" ht="9" customHeight="1">
      <c r="A15" s="9" t="s">
        <v>381</v>
      </c>
      <c r="B15" s="9" t="s">
        <v>382</v>
      </c>
      <c r="C15" s="9" t="s">
        <v>383</v>
      </c>
      <c r="D15" s="9" t="s">
        <v>363</v>
      </c>
      <c r="E15" s="9" t="s">
        <v>69</v>
      </c>
      <c r="F15" s="9"/>
      <c r="G15" s="9" t="s">
        <v>54</v>
      </c>
      <c r="H15" s="9"/>
    </row>
    <row r="16" spans="1:8" ht="9" customHeight="1">
      <c r="A16" s="9" t="s">
        <v>381</v>
      </c>
      <c r="B16" s="9" t="s">
        <v>384</v>
      </c>
      <c r="C16" s="9" t="s">
        <v>385</v>
      </c>
      <c r="D16" s="9" t="s">
        <v>363</v>
      </c>
      <c r="E16" s="9" t="s">
        <v>69</v>
      </c>
      <c r="F16" s="9"/>
      <c r="G16" s="9" t="s">
        <v>54</v>
      </c>
      <c r="H16" s="9"/>
    </row>
    <row r="17" spans="1:8" ht="9" customHeight="1">
      <c r="A17" s="9" t="s">
        <v>381</v>
      </c>
      <c r="B17" s="9" t="s">
        <v>386</v>
      </c>
      <c r="C17" s="9" t="s">
        <v>387</v>
      </c>
      <c r="D17" s="9" t="s">
        <v>388</v>
      </c>
      <c r="E17" s="9" t="s">
        <v>69</v>
      </c>
      <c r="F17" s="9"/>
      <c r="G17" s="9" t="s">
        <v>54</v>
      </c>
      <c r="H17" s="9"/>
    </row>
    <row r="18" spans="1:8" ht="9" customHeight="1">
      <c r="A18" s="9" t="s">
        <v>389</v>
      </c>
      <c r="B18" s="9" t="s">
        <v>390</v>
      </c>
      <c r="C18" s="9" t="s">
        <v>391</v>
      </c>
      <c r="D18" s="9" t="s">
        <v>363</v>
      </c>
      <c r="E18" s="9" t="s">
        <v>69</v>
      </c>
      <c r="F18" s="9"/>
      <c r="G18" s="9" t="s">
        <v>54</v>
      </c>
      <c r="H18" s="9"/>
    </row>
    <row r="19" spans="1:8" ht="9" customHeight="1">
      <c r="A19" s="9" t="s">
        <v>389</v>
      </c>
      <c r="B19" s="9" t="s">
        <v>392</v>
      </c>
      <c r="C19" s="9" t="s">
        <v>393</v>
      </c>
      <c r="D19" s="9" t="s">
        <v>363</v>
      </c>
      <c r="E19" s="9" t="s">
        <v>69</v>
      </c>
      <c r="F19" s="9"/>
      <c r="G19" s="9" t="s">
        <v>54</v>
      </c>
      <c r="H19" s="9"/>
    </row>
    <row r="20" spans="1:8" ht="9" customHeight="1">
      <c r="A20" s="9" t="s">
        <v>389</v>
      </c>
      <c r="B20" s="9" t="s">
        <v>394</v>
      </c>
      <c r="C20" s="9" t="s">
        <v>395</v>
      </c>
      <c r="D20" s="9" t="s">
        <v>363</v>
      </c>
      <c r="E20" s="9" t="s">
        <v>69</v>
      </c>
      <c r="F20" s="9"/>
      <c r="G20" s="9" t="s">
        <v>54</v>
      </c>
      <c r="H20" s="9"/>
    </row>
    <row r="21" spans="1:8" ht="9" customHeight="1">
      <c r="A21" s="9" t="s">
        <v>396</v>
      </c>
      <c r="B21" s="9" t="s">
        <v>397</v>
      </c>
      <c r="C21" s="9" t="s">
        <v>398</v>
      </c>
      <c r="D21" s="9" t="s">
        <v>388</v>
      </c>
      <c r="E21" s="9" t="s">
        <v>69</v>
      </c>
      <c r="F21" s="9"/>
      <c r="G21" s="9" t="s">
        <v>54</v>
      </c>
      <c r="H21" s="9"/>
    </row>
    <row r="22" spans="1:8" ht="9" customHeight="1">
      <c r="A22" s="9" t="s">
        <v>399</v>
      </c>
      <c r="B22" s="9" t="s">
        <v>400</v>
      </c>
      <c r="C22" s="9" t="s">
        <v>401</v>
      </c>
      <c r="D22" s="9" t="s">
        <v>363</v>
      </c>
      <c r="E22" s="9" t="s">
        <v>69</v>
      </c>
      <c r="F22" s="9"/>
      <c r="G22" s="9" t="s">
        <v>54</v>
      </c>
      <c r="H22" s="9"/>
    </row>
    <row r="23" spans="1:8" ht="9" customHeight="1">
      <c r="A23" s="21" t="s">
        <v>402</v>
      </c>
      <c r="B23" s="18" t="s">
        <v>403</v>
      </c>
      <c r="C23" s="18" t="s">
        <v>404</v>
      </c>
      <c r="D23" s="21" t="s">
        <v>363</v>
      </c>
      <c r="E23" s="21" t="s">
        <v>69</v>
      </c>
      <c r="F23" s="18"/>
      <c r="G23" s="18" t="s">
        <v>204</v>
      </c>
      <c r="H23" s="18" t="s">
        <v>405</v>
      </c>
    </row>
    <row r="24" spans="1:8" ht="9" customHeight="1">
      <c r="A24" s="21" t="s">
        <v>406</v>
      </c>
      <c r="B24" s="18" t="s">
        <v>407</v>
      </c>
      <c r="C24" s="18" t="s">
        <v>408</v>
      </c>
      <c r="D24" s="21" t="s">
        <v>363</v>
      </c>
      <c r="E24" s="21" t="s">
        <v>69</v>
      </c>
      <c r="F24" s="18"/>
      <c r="G24" s="18" t="s">
        <v>220</v>
      </c>
      <c r="H24" s="18" t="s">
        <v>409</v>
      </c>
    </row>
    <row r="25" spans="1:8" ht="9" customHeight="1">
      <c r="A25" s="21" t="s">
        <v>406</v>
      </c>
      <c r="B25" s="18" t="s">
        <v>410</v>
      </c>
      <c r="C25" s="18" t="s">
        <v>411</v>
      </c>
      <c r="D25" s="21" t="s">
        <v>363</v>
      </c>
      <c r="E25" s="21" t="s">
        <v>69</v>
      </c>
      <c r="F25" s="18"/>
      <c r="G25" s="18" t="s">
        <v>220</v>
      </c>
      <c r="H25" s="18" t="s">
        <v>412</v>
      </c>
    </row>
    <row r="26" spans="1:8" ht="9" customHeight="1">
      <c r="A26" s="21" t="s">
        <v>406</v>
      </c>
      <c r="B26" s="18" t="s">
        <v>413</v>
      </c>
      <c r="C26" s="18" t="s">
        <v>414</v>
      </c>
      <c r="D26" s="21" t="s">
        <v>363</v>
      </c>
      <c r="E26" s="21" t="s">
        <v>69</v>
      </c>
      <c r="F26" s="18"/>
      <c r="G26" s="18" t="s">
        <v>220</v>
      </c>
      <c r="H26" s="18" t="s">
        <v>415</v>
      </c>
    </row>
    <row r="27" spans="1:8" ht="25.5">
      <c r="A27" s="21" t="s">
        <v>406</v>
      </c>
      <c r="B27" s="18" t="s">
        <v>416</v>
      </c>
      <c r="C27" s="18" t="s">
        <v>417</v>
      </c>
      <c r="D27" s="21" t="s">
        <v>363</v>
      </c>
      <c r="E27" s="21" t="s">
        <v>69</v>
      </c>
      <c r="F27" s="18"/>
      <c r="G27" s="18" t="s">
        <v>220</v>
      </c>
      <c r="H27" s="18" t="s">
        <v>418</v>
      </c>
    </row>
    <row r="28" spans="1:8" ht="25.5">
      <c r="A28" s="21" t="s">
        <v>419</v>
      </c>
      <c r="B28" s="18" t="s">
        <v>420</v>
      </c>
      <c r="C28" s="18" t="s">
        <v>421</v>
      </c>
      <c r="D28" s="21" t="s">
        <v>363</v>
      </c>
      <c r="E28" s="21" t="s">
        <v>69</v>
      </c>
      <c r="F28" s="18"/>
      <c r="G28" s="18" t="s">
        <v>220</v>
      </c>
      <c r="H28" s="18" t="s">
        <v>422</v>
      </c>
    </row>
    <row r="29" spans="1:8" ht="25.5">
      <c r="A29" s="21" t="s">
        <v>423</v>
      </c>
      <c r="B29" s="18" t="s">
        <v>424</v>
      </c>
      <c r="C29" s="18" t="s">
        <v>425</v>
      </c>
      <c r="D29" s="21" t="s">
        <v>363</v>
      </c>
      <c r="E29" s="21" t="s">
        <v>69</v>
      </c>
      <c r="F29" s="18"/>
      <c r="G29" s="18" t="s">
        <v>220</v>
      </c>
      <c r="H29" s="18" t="s">
        <v>426</v>
      </c>
    </row>
    <row r="30" spans="1:8" ht="25.5">
      <c r="A30" s="21" t="s">
        <v>427</v>
      </c>
      <c r="B30" s="18" t="s">
        <v>428</v>
      </c>
      <c r="C30" s="18" t="s">
        <v>429</v>
      </c>
      <c r="D30" s="21" t="s">
        <v>363</v>
      </c>
      <c r="E30" s="21" t="s">
        <v>69</v>
      </c>
      <c r="F30" s="18"/>
      <c r="G30" s="18" t="s">
        <v>220</v>
      </c>
      <c r="H30" s="18" t="s">
        <v>272</v>
      </c>
    </row>
    <row r="31" spans="1:8">
      <c r="A31" s="21" t="s">
        <v>427</v>
      </c>
      <c r="B31" s="18" t="s">
        <v>430</v>
      </c>
      <c r="C31" s="18" t="s">
        <v>431</v>
      </c>
      <c r="D31" s="21" t="s">
        <v>363</v>
      </c>
      <c r="E31" s="21" t="s">
        <v>69</v>
      </c>
      <c r="F31" s="18"/>
      <c r="G31" s="18" t="s">
        <v>220</v>
      </c>
      <c r="H31" s="18" t="s">
        <v>279</v>
      </c>
    </row>
    <row r="32" spans="1:8" ht="25.5">
      <c r="A32" s="21" t="s">
        <v>432</v>
      </c>
      <c r="B32" s="18" t="s">
        <v>433</v>
      </c>
      <c r="C32" s="18" t="s">
        <v>434</v>
      </c>
      <c r="D32" s="21" t="s">
        <v>363</v>
      </c>
      <c r="E32" s="21" t="s">
        <v>69</v>
      </c>
      <c r="F32" s="18"/>
      <c r="G32" s="18" t="s">
        <v>204</v>
      </c>
      <c r="H32" s="18" t="s">
        <v>435</v>
      </c>
    </row>
    <row r="33" spans="1:8" ht="25.5">
      <c r="A33" s="21" t="s">
        <v>432</v>
      </c>
      <c r="B33" s="18" t="s">
        <v>436</v>
      </c>
      <c r="C33" s="18" t="s">
        <v>437</v>
      </c>
      <c r="D33" s="21" t="s">
        <v>363</v>
      </c>
      <c r="E33" s="21" t="s">
        <v>69</v>
      </c>
      <c r="F33" s="18"/>
      <c r="G33" s="18" t="s">
        <v>204</v>
      </c>
      <c r="H33" s="18" t="s">
        <v>212</v>
      </c>
    </row>
    <row r="34" spans="1:8" ht="25.5">
      <c r="A34" s="21" t="s">
        <v>438</v>
      </c>
      <c r="B34" s="18" t="s">
        <v>439</v>
      </c>
      <c r="C34" s="18" t="s">
        <v>440</v>
      </c>
      <c r="D34" s="21" t="s">
        <v>363</v>
      </c>
      <c r="E34" s="21" t="s">
        <v>69</v>
      </c>
      <c r="F34" s="18"/>
      <c r="G34" s="18" t="s">
        <v>204</v>
      </c>
      <c r="H34" s="18" t="s">
        <v>441</v>
      </c>
    </row>
  </sheetData>
  <mergeCells count="2">
    <mergeCell ref="A1:H2"/>
    <mergeCell ref="A3:H3"/>
  </mergeCells>
  <phoneticPr fontId="22" type="noConversion"/>
  <conditionalFormatting sqref="D5:D22">
    <cfRule type="expression" dxfId="48" priority="3">
      <formula>D5="必须"</formula>
    </cfRule>
  </conditionalFormatting>
  <conditionalFormatting sqref="E5:E22">
    <cfRule type="expression" dxfId="47" priority="1">
      <formula>E5="已完成"</formula>
    </cfRule>
    <cfRule type="expression" dxfId="46" priority="2">
      <formula>E5="已阻塞"</formula>
    </cfRule>
  </conditionalFormatting>
  <conditionalFormatting sqref="E5:E34">
    <cfRule type="expression" dxfId="45" priority="4">
      <formula>E5="已完成"</formula>
    </cfRule>
    <cfRule type="expression" dxfId="44" priority="5">
      <formula>E5="进行中"</formula>
    </cfRule>
    <cfRule type="expression" dxfId="43" priority="6">
      <formula>E5="待审核"</formula>
    </cfRule>
    <cfRule type="expression" dxfId="42" priority="7">
      <formula>E5="已阻塞"</formula>
    </cfRule>
    <cfRule type="expression" dxfId="41" priority="8">
      <formula>E5="待确认"</formula>
    </cfRule>
    <cfRule type="expression" dxfId="40" priority="9">
      <formula>E5="未开始"</formula>
    </cfRule>
  </conditionalFormatting>
  <dataValidations count="3">
    <dataValidation type="list" sqref="E5:E22" xr:uid="{00000000-0002-0000-0300-000000000000}">
      <formula1>"未开始,进行中,待审核,已完成,已阻塞"</formula1>
    </dataValidation>
    <dataValidation type="list" sqref="D5:D60" xr:uid="{00000000-0002-0000-0300-000001000000}">
      <formula1>"必须,建议"</formula1>
    </dataValidation>
    <dataValidation type="list" sqref="E5:E60" xr:uid="{00000000-0002-0000-0300-000002000000}">
      <formula1>"未开始,待确认,进行中,待审核,已完成,已阻塞,不适用"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5"/>
  <sheetViews>
    <sheetView topLeftCell="E136" workbookViewId="0">
      <selection sqref="A1:S1"/>
    </sheetView>
  </sheetViews>
  <sheetFormatPr defaultRowHeight="13.5"/>
  <cols>
    <col min="1" max="1" width="11" customWidth="1"/>
    <col min="2" max="3" width="18" customWidth="1"/>
    <col min="4" max="4" width="28" customWidth="1"/>
    <col min="5" max="5" width="38" customWidth="1"/>
    <col min="6" max="6" width="40" customWidth="1"/>
    <col min="7" max="7" width="22" customWidth="1"/>
    <col min="8" max="8" width="9" customWidth="1"/>
    <col min="9" max="9" width="10" customWidth="1"/>
    <col min="10" max="11" width="11" customWidth="1"/>
    <col min="12" max="12" width="22" customWidth="1"/>
    <col min="13" max="13" width="10" customWidth="1"/>
    <col min="14" max="16" width="12" customWidth="1"/>
    <col min="17" max="17" width="28" customWidth="1"/>
    <col min="18" max="18" width="30" customWidth="1"/>
    <col min="19" max="19" width="24" customWidth="1"/>
  </cols>
  <sheetData>
    <row r="1" spans="1:19" ht="8.5500000000000007" customHeight="1">
      <c r="A1" s="44" t="s">
        <v>442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3" spans="1:19" ht="7.05" customHeight="1">
      <c r="A3" s="45" t="s">
        <v>2487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 spans="1:19" ht="7.5" customHeight="1">
      <c r="A4" s="22" t="s">
        <v>37</v>
      </c>
      <c r="B4" s="22" t="s">
        <v>443</v>
      </c>
      <c r="C4" s="22" t="s">
        <v>444</v>
      </c>
      <c r="D4" s="22" t="s">
        <v>445</v>
      </c>
      <c r="E4" s="22" t="s">
        <v>446</v>
      </c>
      <c r="F4" s="22" t="s">
        <v>447</v>
      </c>
      <c r="G4" s="22" t="s">
        <v>448</v>
      </c>
      <c r="H4" s="22" t="s">
        <v>40</v>
      </c>
      <c r="I4" s="22" t="s">
        <v>449</v>
      </c>
      <c r="J4" s="22" t="s">
        <v>41</v>
      </c>
      <c r="K4" s="22" t="s">
        <v>42</v>
      </c>
      <c r="L4" s="22" t="s">
        <v>450</v>
      </c>
      <c r="M4" s="22" t="s">
        <v>451</v>
      </c>
      <c r="N4" s="22" t="s">
        <v>44</v>
      </c>
      <c r="O4" s="22" t="s">
        <v>452</v>
      </c>
      <c r="P4" s="22" t="s">
        <v>46</v>
      </c>
      <c r="Q4" s="22" t="s">
        <v>47</v>
      </c>
      <c r="R4" s="22" t="s">
        <v>48</v>
      </c>
      <c r="S4" s="22" t="s">
        <v>360</v>
      </c>
    </row>
    <row r="5" spans="1:19" ht="34.9">
      <c r="A5" s="13" t="s">
        <v>453</v>
      </c>
      <c r="B5" s="13" t="s">
        <v>454</v>
      </c>
      <c r="C5" s="13" t="s">
        <v>455</v>
      </c>
      <c r="D5" s="13" t="s">
        <v>456</v>
      </c>
      <c r="E5" s="12" t="s">
        <v>457</v>
      </c>
      <c r="F5" s="12" t="s">
        <v>458</v>
      </c>
      <c r="G5" s="12" t="s">
        <v>459</v>
      </c>
      <c r="H5" s="13" t="s">
        <v>52</v>
      </c>
      <c r="I5" s="13" t="s">
        <v>460</v>
      </c>
      <c r="J5" s="13" t="s">
        <v>7</v>
      </c>
      <c r="K5" s="17">
        <f t="shared" ref="K5:K36" si="0">IF(J5="不适用","",IF(J5="已完成",1,IF(J5="待审核",0.9,IF(J5="进行中",0.5,IF(J5="已阻塞",0.25,0)))))</f>
        <v>1</v>
      </c>
      <c r="L5" s="13"/>
      <c r="M5" s="13" t="s">
        <v>20</v>
      </c>
      <c r="N5" s="13" t="s">
        <v>461</v>
      </c>
      <c r="O5" s="15">
        <f>总览!$C$5+0</f>
        <v>46215</v>
      </c>
      <c r="P5" s="15"/>
      <c r="Q5" s="12" t="s">
        <v>2488</v>
      </c>
      <c r="R5" s="12" t="s">
        <v>2489</v>
      </c>
      <c r="S5" s="12" t="s">
        <v>2490</v>
      </c>
    </row>
    <row r="6" spans="1:19" ht="46.5">
      <c r="A6" s="13" t="s">
        <v>462</v>
      </c>
      <c r="B6" s="13" t="s">
        <v>454</v>
      </c>
      <c r="C6" s="13" t="s">
        <v>463</v>
      </c>
      <c r="D6" s="13" t="s">
        <v>464</v>
      </c>
      <c r="E6" s="12" t="s">
        <v>465</v>
      </c>
      <c r="F6" s="12" t="s">
        <v>466</v>
      </c>
      <c r="G6" s="12" t="s">
        <v>467</v>
      </c>
      <c r="H6" s="13" t="s">
        <v>52</v>
      </c>
      <c r="I6" s="13" t="s">
        <v>460</v>
      </c>
      <c r="J6" s="13" t="s">
        <v>312</v>
      </c>
      <c r="K6" s="17" t="str">
        <f t="shared" si="0"/>
        <v/>
      </c>
      <c r="L6" s="13" t="s">
        <v>468</v>
      </c>
      <c r="M6" s="13" t="s">
        <v>20</v>
      </c>
      <c r="N6" s="13" t="s">
        <v>54</v>
      </c>
      <c r="O6" s="15">
        <f>总览!$C$5+0</f>
        <v>46215</v>
      </c>
      <c r="P6" s="15"/>
      <c r="Q6" s="12" t="s">
        <v>2491</v>
      </c>
      <c r="R6" s="12" t="s">
        <v>2492</v>
      </c>
      <c r="S6" s="12" t="s">
        <v>2493</v>
      </c>
    </row>
    <row r="7" spans="1:19" ht="34.9">
      <c r="A7" s="13" t="s">
        <v>469</v>
      </c>
      <c r="B7" s="13" t="s">
        <v>454</v>
      </c>
      <c r="C7" s="13" t="s">
        <v>470</v>
      </c>
      <c r="D7" s="13" t="s">
        <v>471</v>
      </c>
      <c r="E7" s="12" t="s">
        <v>472</v>
      </c>
      <c r="F7" s="12" t="s">
        <v>473</v>
      </c>
      <c r="G7" s="12" t="s">
        <v>474</v>
      </c>
      <c r="H7" s="13" t="s">
        <v>52</v>
      </c>
      <c r="I7" s="13" t="s">
        <v>460</v>
      </c>
      <c r="J7" s="13" t="s">
        <v>7</v>
      </c>
      <c r="K7" s="17">
        <f t="shared" si="0"/>
        <v>1</v>
      </c>
      <c r="L7" s="13" t="s">
        <v>468</v>
      </c>
      <c r="M7" s="13" t="s">
        <v>20</v>
      </c>
      <c r="N7" s="13" t="s">
        <v>220</v>
      </c>
      <c r="O7" s="15">
        <f>总览!$C$5+0</f>
        <v>46215</v>
      </c>
      <c r="P7" s="15"/>
      <c r="Q7" s="12" t="s">
        <v>2488</v>
      </c>
      <c r="R7" s="12" t="s">
        <v>2489</v>
      </c>
      <c r="S7" s="12" t="s">
        <v>2490</v>
      </c>
    </row>
    <row r="8" spans="1:19" ht="34.9">
      <c r="A8" s="13" t="s">
        <v>475</v>
      </c>
      <c r="B8" s="13" t="s">
        <v>454</v>
      </c>
      <c r="C8" s="13" t="s">
        <v>476</v>
      </c>
      <c r="D8" s="13" t="s">
        <v>477</v>
      </c>
      <c r="E8" s="12" t="s">
        <v>478</v>
      </c>
      <c r="F8" s="12" t="s">
        <v>479</v>
      </c>
      <c r="G8" s="12" t="s">
        <v>480</v>
      </c>
      <c r="H8" s="13" t="s">
        <v>52</v>
      </c>
      <c r="I8" s="13" t="s">
        <v>460</v>
      </c>
      <c r="J8" s="13" t="s">
        <v>7</v>
      </c>
      <c r="K8" s="17">
        <f t="shared" si="0"/>
        <v>1</v>
      </c>
      <c r="L8" s="13" t="s">
        <v>468</v>
      </c>
      <c r="M8" s="13" t="s">
        <v>20</v>
      </c>
      <c r="N8" s="13" t="s">
        <v>220</v>
      </c>
      <c r="O8" s="15">
        <f>总览!$C$5+0</f>
        <v>46215</v>
      </c>
      <c r="P8" s="15"/>
      <c r="Q8" s="12" t="s">
        <v>2488</v>
      </c>
      <c r="R8" s="12" t="s">
        <v>2489</v>
      </c>
      <c r="S8" s="12" t="s">
        <v>2490</v>
      </c>
    </row>
    <row r="9" spans="1:19" ht="34.9">
      <c r="A9" s="13" t="s">
        <v>481</v>
      </c>
      <c r="B9" s="13" t="s">
        <v>454</v>
      </c>
      <c r="C9" s="13" t="s">
        <v>482</v>
      </c>
      <c r="D9" s="13" t="s">
        <v>483</v>
      </c>
      <c r="E9" s="12" t="s">
        <v>484</v>
      </c>
      <c r="F9" s="12" t="s">
        <v>485</v>
      </c>
      <c r="G9" s="12" t="s">
        <v>486</v>
      </c>
      <c r="H9" s="13" t="s">
        <v>52</v>
      </c>
      <c r="I9" s="13" t="s">
        <v>460</v>
      </c>
      <c r="J9" s="13" t="s">
        <v>7</v>
      </c>
      <c r="K9" s="17">
        <f t="shared" si="0"/>
        <v>1</v>
      </c>
      <c r="L9" s="13" t="s">
        <v>476</v>
      </c>
      <c r="M9" s="13" t="s">
        <v>20</v>
      </c>
      <c r="N9" s="13" t="s">
        <v>220</v>
      </c>
      <c r="O9" s="15">
        <f>总览!$C$5+0</f>
        <v>46215</v>
      </c>
      <c r="P9" s="15"/>
      <c r="Q9" s="12" t="s">
        <v>2488</v>
      </c>
      <c r="R9" s="12" t="s">
        <v>2489</v>
      </c>
      <c r="S9" s="12" t="s">
        <v>2490</v>
      </c>
    </row>
    <row r="10" spans="1:19" ht="34.9">
      <c r="A10" s="13" t="s">
        <v>487</v>
      </c>
      <c r="B10" s="13" t="s">
        <v>454</v>
      </c>
      <c r="C10" s="13" t="s">
        <v>488</v>
      </c>
      <c r="D10" s="13" t="s">
        <v>489</v>
      </c>
      <c r="E10" s="12" t="s">
        <v>490</v>
      </c>
      <c r="F10" s="12" t="s">
        <v>491</v>
      </c>
      <c r="G10" s="12" t="s">
        <v>492</v>
      </c>
      <c r="H10" s="13" t="s">
        <v>52</v>
      </c>
      <c r="I10" s="13" t="s">
        <v>460</v>
      </c>
      <c r="J10" s="13" t="s">
        <v>7</v>
      </c>
      <c r="K10" s="17">
        <f t="shared" si="0"/>
        <v>1</v>
      </c>
      <c r="L10" s="13" t="s">
        <v>482</v>
      </c>
      <c r="M10" s="13" t="s">
        <v>22</v>
      </c>
      <c r="N10" s="13" t="s">
        <v>220</v>
      </c>
      <c r="O10" s="15">
        <f>总览!$C$5+1</f>
        <v>46216</v>
      </c>
      <c r="P10" s="15"/>
      <c r="Q10" s="12" t="s">
        <v>2488</v>
      </c>
      <c r="R10" s="12" t="s">
        <v>2489</v>
      </c>
      <c r="S10" s="12" t="s">
        <v>2490</v>
      </c>
    </row>
    <row r="11" spans="1:19" ht="23.25">
      <c r="A11" s="13" t="s">
        <v>493</v>
      </c>
      <c r="B11" s="13" t="s">
        <v>454</v>
      </c>
      <c r="C11" s="13" t="s">
        <v>494</v>
      </c>
      <c r="D11" s="13" t="s">
        <v>495</v>
      </c>
      <c r="E11" s="12" t="s">
        <v>496</v>
      </c>
      <c r="F11" s="12" t="s">
        <v>497</v>
      </c>
      <c r="G11" s="12" t="s">
        <v>498</v>
      </c>
      <c r="H11" s="13" t="s">
        <v>52</v>
      </c>
      <c r="I11" s="13" t="s">
        <v>460</v>
      </c>
      <c r="J11" s="13" t="s">
        <v>107</v>
      </c>
      <c r="K11" s="17">
        <f t="shared" si="0"/>
        <v>0.5</v>
      </c>
      <c r="L11" s="13" t="s">
        <v>488</v>
      </c>
      <c r="M11" s="13" t="s">
        <v>28</v>
      </c>
      <c r="N11" s="13" t="s">
        <v>220</v>
      </c>
      <c r="O11" s="15">
        <f>总览!$C$5+4</f>
        <v>46219</v>
      </c>
      <c r="P11" s="15"/>
      <c r="Q11" s="12" t="s">
        <v>2494</v>
      </c>
      <c r="R11" s="12" t="s">
        <v>2495</v>
      </c>
      <c r="S11" s="12" t="s">
        <v>2496</v>
      </c>
    </row>
    <row r="12" spans="1:19" ht="34.9">
      <c r="A12" s="13" t="s">
        <v>499</v>
      </c>
      <c r="B12" s="13" t="s">
        <v>454</v>
      </c>
      <c r="C12" s="13" t="s">
        <v>500</v>
      </c>
      <c r="D12" s="13" t="s">
        <v>501</v>
      </c>
      <c r="E12" s="12" t="s">
        <v>502</v>
      </c>
      <c r="F12" s="12" t="s">
        <v>503</v>
      </c>
      <c r="G12" s="12" t="s">
        <v>504</v>
      </c>
      <c r="H12" s="13" t="s">
        <v>52</v>
      </c>
      <c r="I12" s="13" t="s">
        <v>460</v>
      </c>
      <c r="J12" s="13" t="s">
        <v>107</v>
      </c>
      <c r="K12" s="17">
        <f t="shared" si="0"/>
        <v>0.5</v>
      </c>
      <c r="L12" s="13"/>
      <c r="M12" s="13" t="s">
        <v>20</v>
      </c>
      <c r="N12" s="13" t="s">
        <v>461</v>
      </c>
      <c r="O12" s="15">
        <f>总览!$C$5+0</f>
        <v>46215</v>
      </c>
      <c r="P12" s="15"/>
      <c r="Q12" s="12" t="s">
        <v>2497</v>
      </c>
      <c r="R12" s="12" t="s">
        <v>2498</v>
      </c>
      <c r="S12" s="12" t="s">
        <v>2499</v>
      </c>
    </row>
    <row r="13" spans="1:19" ht="34.9">
      <c r="A13" s="13" t="s">
        <v>505</v>
      </c>
      <c r="B13" s="13" t="s">
        <v>506</v>
      </c>
      <c r="C13" s="13" t="s">
        <v>210</v>
      </c>
      <c r="D13" s="13" t="s">
        <v>507</v>
      </c>
      <c r="E13" s="12" t="s">
        <v>508</v>
      </c>
      <c r="F13" s="12" t="s">
        <v>509</v>
      </c>
      <c r="G13" s="12" t="s">
        <v>510</v>
      </c>
      <c r="H13" s="13" t="s">
        <v>52</v>
      </c>
      <c r="I13" s="13" t="s">
        <v>460</v>
      </c>
      <c r="J13" s="13" t="s">
        <v>7</v>
      </c>
      <c r="K13" s="17">
        <f t="shared" si="0"/>
        <v>1</v>
      </c>
      <c r="L13" s="13" t="s">
        <v>500</v>
      </c>
      <c r="M13" s="13" t="s">
        <v>20</v>
      </c>
      <c r="N13" s="13" t="s">
        <v>54</v>
      </c>
      <c r="O13" s="15">
        <f>总览!$C$5+0</f>
        <v>46215</v>
      </c>
      <c r="P13" s="15"/>
      <c r="Q13" s="12" t="s">
        <v>2500</v>
      </c>
      <c r="R13" s="12" t="s">
        <v>2501</v>
      </c>
      <c r="S13" s="12" t="s">
        <v>2502</v>
      </c>
    </row>
    <row r="14" spans="1:19" ht="34.9">
      <c r="A14" s="13" t="s">
        <v>511</v>
      </c>
      <c r="B14" s="13" t="s">
        <v>506</v>
      </c>
      <c r="C14" s="13" t="s">
        <v>512</v>
      </c>
      <c r="D14" s="13" t="s">
        <v>513</v>
      </c>
      <c r="E14" s="12" t="s">
        <v>514</v>
      </c>
      <c r="F14" s="12" t="s">
        <v>515</v>
      </c>
      <c r="G14" s="12" t="s">
        <v>516</v>
      </c>
      <c r="H14" s="13" t="s">
        <v>52</v>
      </c>
      <c r="I14" s="13" t="s">
        <v>460</v>
      </c>
      <c r="J14" s="13" t="s">
        <v>107</v>
      </c>
      <c r="K14" s="17">
        <f t="shared" si="0"/>
        <v>0.5</v>
      </c>
      <c r="L14" s="13" t="s">
        <v>517</v>
      </c>
      <c r="M14" s="13" t="s">
        <v>22</v>
      </c>
      <c r="N14" s="13" t="s">
        <v>220</v>
      </c>
      <c r="O14" s="15">
        <f>总览!$C$5+1</f>
        <v>46216</v>
      </c>
      <c r="P14" s="15"/>
      <c r="Q14" s="12" t="s">
        <v>2503</v>
      </c>
      <c r="R14" s="12" t="s">
        <v>2504</v>
      </c>
      <c r="S14" s="12" t="s">
        <v>2505</v>
      </c>
    </row>
    <row r="15" spans="1:19" ht="34.9">
      <c r="A15" s="13" t="s">
        <v>518</v>
      </c>
      <c r="B15" s="13" t="s">
        <v>506</v>
      </c>
      <c r="C15" s="13" t="s">
        <v>519</v>
      </c>
      <c r="D15" s="13" t="s">
        <v>520</v>
      </c>
      <c r="E15" s="12" t="s">
        <v>521</v>
      </c>
      <c r="F15" s="12" t="s">
        <v>522</v>
      </c>
      <c r="G15" s="12" t="s">
        <v>523</v>
      </c>
      <c r="H15" s="13" t="s">
        <v>52</v>
      </c>
      <c r="I15" s="13" t="s">
        <v>460</v>
      </c>
      <c r="J15" s="13" t="s">
        <v>7</v>
      </c>
      <c r="K15" s="17">
        <f t="shared" si="0"/>
        <v>1</v>
      </c>
      <c r="L15" s="13" t="s">
        <v>517</v>
      </c>
      <c r="M15" s="13" t="s">
        <v>22</v>
      </c>
      <c r="N15" s="13" t="s">
        <v>220</v>
      </c>
      <c r="O15" s="15">
        <f>总览!$C$5+1</f>
        <v>46216</v>
      </c>
      <c r="P15" s="15"/>
      <c r="Q15" s="12" t="s">
        <v>2500</v>
      </c>
      <c r="R15" s="12" t="s">
        <v>2501</v>
      </c>
      <c r="S15" s="12" t="s">
        <v>2502</v>
      </c>
    </row>
    <row r="16" spans="1:19" ht="34.9">
      <c r="A16" s="13" t="s">
        <v>524</v>
      </c>
      <c r="B16" s="13" t="s">
        <v>506</v>
      </c>
      <c r="C16" s="13" t="s">
        <v>525</v>
      </c>
      <c r="D16" s="13" t="s">
        <v>526</v>
      </c>
      <c r="E16" s="12" t="s">
        <v>527</v>
      </c>
      <c r="F16" s="12" t="s">
        <v>528</v>
      </c>
      <c r="G16" s="12" t="s">
        <v>523</v>
      </c>
      <c r="H16" s="13" t="s">
        <v>52</v>
      </c>
      <c r="I16" s="13" t="s">
        <v>460</v>
      </c>
      <c r="J16" s="13" t="s">
        <v>107</v>
      </c>
      <c r="K16" s="17">
        <f t="shared" si="0"/>
        <v>0.5</v>
      </c>
      <c r="L16" s="13" t="s">
        <v>519</v>
      </c>
      <c r="M16" s="13" t="s">
        <v>22</v>
      </c>
      <c r="N16" s="13" t="s">
        <v>220</v>
      </c>
      <c r="O16" s="15">
        <f>总览!$C$5+1</f>
        <v>46216</v>
      </c>
      <c r="P16" s="15"/>
      <c r="Q16" s="12" t="s">
        <v>2503</v>
      </c>
      <c r="R16" s="12" t="s">
        <v>2504</v>
      </c>
      <c r="S16" s="12" t="s">
        <v>2505</v>
      </c>
    </row>
    <row r="17" spans="1:19" ht="34.9">
      <c r="A17" s="13" t="s">
        <v>529</v>
      </c>
      <c r="B17" s="13" t="s">
        <v>506</v>
      </c>
      <c r="C17" s="13" t="s">
        <v>530</v>
      </c>
      <c r="D17" s="13" t="s">
        <v>531</v>
      </c>
      <c r="E17" s="12" t="s">
        <v>532</v>
      </c>
      <c r="F17" s="12" t="s">
        <v>533</v>
      </c>
      <c r="G17" s="12" t="s">
        <v>534</v>
      </c>
      <c r="H17" s="13" t="s">
        <v>52</v>
      </c>
      <c r="I17" s="13" t="s">
        <v>460</v>
      </c>
      <c r="J17" s="13" t="s">
        <v>7</v>
      </c>
      <c r="K17" s="17">
        <f t="shared" si="0"/>
        <v>1</v>
      </c>
      <c r="L17" s="13" t="s">
        <v>525</v>
      </c>
      <c r="M17" s="13" t="s">
        <v>22</v>
      </c>
      <c r="N17" s="13" t="s">
        <v>220</v>
      </c>
      <c r="O17" s="15">
        <f>总览!$C$5+1</f>
        <v>46216</v>
      </c>
      <c r="P17" s="15"/>
      <c r="Q17" s="12" t="s">
        <v>2500</v>
      </c>
      <c r="R17" s="12" t="s">
        <v>2501</v>
      </c>
      <c r="S17" s="12" t="s">
        <v>2502</v>
      </c>
    </row>
    <row r="18" spans="1:19" ht="23.25">
      <c r="A18" s="13" t="s">
        <v>535</v>
      </c>
      <c r="B18" s="13" t="s">
        <v>506</v>
      </c>
      <c r="C18" s="13" t="s">
        <v>536</v>
      </c>
      <c r="D18" s="13" t="s">
        <v>537</v>
      </c>
      <c r="E18" s="12" t="s">
        <v>538</v>
      </c>
      <c r="F18" s="12" t="s">
        <v>539</v>
      </c>
      <c r="G18" s="12" t="s">
        <v>523</v>
      </c>
      <c r="H18" s="13" t="s">
        <v>52</v>
      </c>
      <c r="I18" s="13" t="s">
        <v>540</v>
      </c>
      <c r="J18" s="13" t="s">
        <v>69</v>
      </c>
      <c r="K18" s="17">
        <f t="shared" si="0"/>
        <v>0</v>
      </c>
      <c r="L18" s="13" t="s">
        <v>525</v>
      </c>
      <c r="M18" s="13" t="s">
        <v>22</v>
      </c>
      <c r="N18" s="13" t="s">
        <v>220</v>
      </c>
      <c r="O18" s="15">
        <f>总览!$C$5+1</f>
        <v>46216</v>
      </c>
      <c r="P18" s="15"/>
      <c r="Q18" s="12"/>
      <c r="R18" s="12"/>
      <c r="S18" s="12"/>
    </row>
    <row r="19" spans="1:19" ht="34.9">
      <c r="A19" s="13" t="s">
        <v>541</v>
      </c>
      <c r="B19" s="13" t="s">
        <v>506</v>
      </c>
      <c r="C19" s="13" t="s">
        <v>542</v>
      </c>
      <c r="D19" s="13" t="s">
        <v>543</v>
      </c>
      <c r="E19" s="12" t="s">
        <v>544</v>
      </c>
      <c r="F19" s="12" t="s">
        <v>545</v>
      </c>
      <c r="G19" s="12" t="s">
        <v>546</v>
      </c>
      <c r="H19" s="13" t="s">
        <v>52</v>
      </c>
      <c r="I19" s="13" t="s">
        <v>460</v>
      </c>
      <c r="J19" s="13" t="s">
        <v>107</v>
      </c>
      <c r="K19" s="17">
        <f t="shared" si="0"/>
        <v>0.5</v>
      </c>
      <c r="L19" s="13" t="s">
        <v>547</v>
      </c>
      <c r="M19" s="13" t="s">
        <v>24</v>
      </c>
      <c r="N19" s="13" t="s">
        <v>220</v>
      </c>
      <c r="O19" s="15">
        <f>总览!$C$5+2</f>
        <v>46217</v>
      </c>
      <c r="P19" s="15"/>
      <c r="Q19" s="12" t="s">
        <v>2503</v>
      </c>
      <c r="R19" s="12" t="s">
        <v>2504</v>
      </c>
      <c r="S19" s="12" t="s">
        <v>2505</v>
      </c>
    </row>
    <row r="20" spans="1:19" ht="23.25">
      <c r="A20" s="13" t="s">
        <v>548</v>
      </c>
      <c r="B20" s="13" t="s">
        <v>506</v>
      </c>
      <c r="C20" s="13" t="s">
        <v>549</v>
      </c>
      <c r="D20" s="13" t="s">
        <v>550</v>
      </c>
      <c r="E20" s="12" t="s">
        <v>551</v>
      </c>
      <c r="F20" s="12" t="s">
        <v>552</v>
      </c>
      <c r="G20" s="12" t="s">
        <v>553</v>
      </c>
      <c r="H20" s="13" t="s">
        <v>76</v>
      </c>
      <c r="I20" s="13" t="s">
        <v>540</v>
      </c>
      <c r="J20" s="13" t="s">
        <v>69</v>
      </c>
      <c r="K20" s="17">
        <f t="shared" si="0"/>
        <v>0</v>
      </c>
      <c r="L20" s="13" t="s">
        <v>554</v>
      </c>
      <c r="M20" s="13" t="s">
        <v>28</v>
      </c>
      <c r="N20" s="13" t="s">
        <v>220</v>
      </c>
      <c r="O20" s="15">
        <f>总览!$C$5+4</f>
        <v>46219</v>
      </c>
      <c r="P20" s="15"/>
      <c r="Q20" s="12"/>
      <c r="R20" s="12"/>
      <c r="S20" s="12"/>
    </row>
    <row r="21" spans="1:19" ht="23.25">
      <c r="A21" s="13" t="s">
        <v>555</v>
      </c>
      <c r="B21" s="13" t="s">
        <v>506</v>
      </c>
      <c r="C21" s="13" t="s">
        <v>556</v>
      </c>
      <c r="D21" s="13" t="s">
        <v>557</v>
      </c>
      <c r="E21" s="12" t="s">
        <v>558</v>
      </c>
      <c r="F21" s="12" t="s">
        <v>559</v>
      </c>
      <c r="G21" s="12" t="s">
        <v>560</v>
      </c>
      <c r="H21" s="13" t="s">
        <v>76</v>
      </c>
      <c r="I21" s="13" t="s">
        <v>540</v>
      </c>
      <c r="J21" s="13" t="s">
        <v>69</v>
      </c>
      <c r="K21" s="17">
        <f t="shared" si="0"/>
        <v>0</v>
      </c>
      <c r="L21" s="13" t="s">
        <v>549</v>
      </c>
      <c r="M21" s="13" t="s">
        <v>30</v>
      </c>
      <c r="N21" s="13" t="s">
        <v>461</v>
      </c>
      <c r="O21" s="15">
        <f>总览!$C$5+5</f>
        <v>46220</v>
      </c>
      <c r="P21" s="15"/>
      <c r="Q21" s="12"/>
      <c r="R21" s="12"/>
      <c r="S21" s="12"/>
    </row>
    <row r="22" spans="1:19" ht="34.9">
      <c r="A22" s="13" t="s">
        <v>561</v>
      </c>
      <c r="B22" s="13" t="s">
        <v>506</v>
      </c>
      <c r="C22" s="13" t="s">
        <v>562</v>
      </c>
      <c r="D22" s="13" t="s">
        <v>563</v>
      </c>
      <c r="E22" s="12" t="s">
        <v>564</v>
      </c>
      <c r="F22" s="12" t="s">
        <v>565</v>
      </c>
      <c r="G22" s="12" t="s">
        <v>566</v>
      </c>
      <c r="H22" s="13" t="s">
        <v>76</v>
      </c>
      <c r="I22" s="13" t="s">
        <v>540</v>
      </c>
      <c r="J22" s="13" t="s">
        <v>7</v>
      </c>
      <c r="K22" s="17">
        <f t="shared" si="0"/>
        <v>1</v>
      </c>
      <c r="L22" s="13" t="s">
        <v>519</v>
      </c>
      <c r="M22" s="13" t="s">
        <v>30</v>
      </c>
      <c r="N22" s="13" t="s">
        <v>220</v>
      </c>
      <c r="O22" s="15">
        <f>总览!$C$5+5</f>
        <v>46220</v>
      </c>
      <c r="P22" s="15"/>
      <c r="Q22" s="12" t="s">
        <v>2500</v>
      </c>
      <c r="R22" s="12" t="s">
        <v>2501</v>
      </c>
      <c r="S22" s="12" t="s">
        <v>2502</v>
      </c>
    </row>
    <row r="23" spans="1:19" ht="23.25">
      <c r="A23" s="13" t="s">
        <v>567</v>
      </c>
      <c r="B23" s="13" t="s">
        <v>568</v>
      </c>
      <c r="C23" s="13" t="s">
        <v>569</v>
      </c>
      <c r="D23" s="13" t="s">
        <v>570</v>
      </c>
      <c r="E23" s="12" t="s">
        <v>571</v>
      </c>
      <c r="F23" s="12" t="s">
        <v>572</v>
      </c>
      <c r="G23" s="12" t="s">
        <v>573</v>
      </c>
      <c r="H23" s="13" t="s">
        <v>52</v>
      </c>
      <c r="I23" s="13" t="s">
        <v>460</v>
      </c>
      <c r="J23" s="13" t="s">
        <v>7</v>
      </c>
      <c r="K23" s="17">
        <f t="shared" si="0"/>
        <v>1</v>
      </c>
      <c r="L23" s="13"/>
      <c r="M23" s="13" t="s">
        <v>20</v>
      </c>
      <c r="N23" s="13" t="s">
        <v>54</v>
      </c>
      <c r="O23" s="15">
        <f>总览!$C$5+0</f>
        <v>46215</v>
      </c>
      <c r="P23" s="15"/>
      <c r="Q23" s="12"/>
      <c r="R23" s="12"/>
      <c r="S23" s="12"/>
    </row>
    <row r="24" spans="1:19" ht="46.5">
      <c r="A24" s="13" t="s">
        <v>574</v>
      </c>
      <c r="B24" s="13" t="s">
        <v>568</v>
      </c>
      <c r="C24" s="13" t="s">
        <v>575</v>
      </c>
      <c r="D24" s="13" t="s">
        <v>576</v>
      </c>
      <c r="E24" s="12" t="s">
        <v>577</v>
      </c>
      <c r="F24" s="12" t="s">
        <v>578</v>
      </c>
      <c r="G24" s="12" t="s">
        <v>579</v>
      </c>
      <c r="H24" s="13" t="s">
        <v>52</v>
      </c>
      <c r="I24" s="13" t="s">
        <v>460</v>
      </c>
      <c r="J24" s="13" t="s">
        <v>7</v>
      </c>
      <c r="K24" s="17">
        <f t="shared" si="0"/>
        <v>1</v>
      </c>
      <c r="L24" s="13" t="s">
        <v>580</v>
      </c>
      <c r="M24" s="13" t="s">
        <v>22</v>
      </c>
      <c r="N24" s="13" t="s">
        <v>220</v>
      </c>
      <c r="O24" s="15">
        <f>总览!$C$5+1</f>
        <v>46216</v>
      </c>
      <c r="P24" s="15"/>
      <c r="Q24" s="12" t="s">
        <v>2506</v>
      </c>
      <c r="R24" s="12" t="s">
        <v>2507</v>
      </c>
      <c r="S24" s="12" t="s">
        <v>2508</v>
      </c>
    </row>
    <row r="25" spans="1:19" ht="46.5">
      <c r="A25" s="13" t="s">
        <v>581</v>
      </c>
      <c r="B25" s="13" t="s">
        <v>568</v>
      </c>
      <c r="C25" s="13" t="s">
        <v>582</v>
      </c>
      <c r="D25" s="13" t="s">
        <v>583</v>
      </c>
      <c r="E25" s="12" t="s">
        <v>584</v>
      </c>
      <c r="F25" s="12" t="s">
        <v>585</v>
      </c>
      <c r="G25" s="12" t="s">
        <v>586</v>
      </c>
      <c r="H25" s="13" t="s">
        <v>76</v>
      </c>
      <c r="I25" s="13" t="s">
        <v>540</v>
      </c>
      <c r="J25" s="13" t="s">
        <v>7</v>
      </c>
      <c r="K25" s="17">
        <f t="shared" si="0"/>
        <v>1</v>
      </c>
      <c r="L25" s="13" t="s">
        <v>575</v>
      </c>
      <c r="M25" s="13" t="s">
        <v>22</v>
      </c>
      <c r="N25" s="13" t="s">
        <v>220</v>
      </c>
      <c r="O25" s="15">
        <f>总览!$C$5+1</f>
        <v>46216</v>
      </c>
      <c r="P25" s="15"/>
      <c r="Q25" s="12" t="s">
        <v>2506</v>
      </c>
      <c r="R25" s="12" t="s">
        <v>2507</v>
      </c>
      <c r="S25" s="12" t="s">
        <v>2508</v>
      </c>
    </row>
    <row r="26" spans="1:19" ht="46.5">
      <c r="A26" s="13" t="s">
        <v>587</v>
      </c>
      <c r="B26" s="13" t="s">
        <v>568</v>
      </c>
      <c r="C26" s="13" t="s">
        <v>588</v>
      </c>
      <c r="D26" s="13" t="s">
        <v>589</v>
      </c>
      <c r="E26" s="12" t="s">
        <v>590</v>
      </c>
      <c r="F26" s="12" t="s">
        <v>591</v>
      </c>
      <c r="G26" s="12" t="s">
        <v>592</v>
      </c>
      <c r="H26" s="13" t="s">
        <v>52</v>
      </c>
      <c r="I26" s="13" t="s">
        <v>460</v>
      </c>
      <c r="J26" s="13" t="s">
        <v>7</v>
      </c>
      <c r="K26" s="17">
        <f t="shared" si="0"/>
        <v>1</v>
      </c>
      <c r="L26" s="13" t="s">
        <v>593</v>
      </c>
      <c r="M26" s="13" t="s">
        <v>22</v>
      </c>
      <c r="N26" s="13" t="s">
        <v>220</v>
      </c>
      <c r="O26" s="15">
        <f>总览!$C$5+1</f>
        <v>46216</v>
      </c>
      <c r="P26" s="15"/>
      <c r="Q26" s="12" t="s">
        <v>2506</v>
      </c>
      <c r="R26" s="12" t="s">
        <v>2507</v>
      </c>
      <c r="S26" s="12" t="s">
        <v>2508</v>
      </c>
    </row>
    <row r="27" spans="1:19" ht="46.5">
      <c r="A27" s="13" t="s">
        <v>594</v>
      </c>
      <c r="B27" s="13" t="s">
        <v>568</v>
      </c>
      <c r="C27" s="13" t="s">
        <v>595</v>
      </c>
      <c r="D27" s="13" t="s">
        <v>407</v>
      </c>
      <c r="E27" s="12" t="s">
        <v>596</v>
      </c>
      <c r="F27" s="12" t="s">
        <v>597</v>
      </c>
      <c r="G27" s="12" t="s">
        <v>598</v>
      </c>
      <c r="H27" s="13" t="s">
        <v>52</v>
      </c>
      <c r="I27" s="13" t="s">
        <v>460</v>
      </c>
      <c r="J27" s="13" t="s">
        <v>7</v>
      </c>
      <c r="K27" s="17">
        <f t="shared" si="0"/>
        <v>1</v>
      </c>
      <c r="L27" s="13" t="s">
        <v>599</v>
      </c>
      <c r="M27" s="13" t="s">
        <v>22</v>
      </c>
      <c r="N27" s="13" t="s">
        <v>220</v>
      </c>
      <c r="O27" s="15">
        <f>总览!$C$5+1</f>
        <v>46216</v>
      </c>
      <c r="P27" s="15"/>
      <c r="Q27" s="12" t="s">
        <v>2506</v>
      </c>
      <c r="R27" s="12" t="s">
        <v>2507</v>
      </c>
      <c r="S27" s="12" t="s">
        <v>2508</v>
      </c>
    </row>
    <row r="28" spans="1:19" ht="46.5">
      <c r="A28" s="13" t="s">
        <v>600</v>
      </c>
      <c r="B28" s="13" t="s">
        <v>568</v>
      </c>
      <c r="C28" s="13" t="s">
        <v>601</v>
      </c>
      <c r="D28" s="13" t="s">
        <v>602</v>
      </c>
      <c r="E28" s="12" t="s">
        <v>603</v>
      </c>
      <c r="F28" s="12" t="s">
        <v>604</v>
      </c>
      <c r="G28" s="12" t="s">
        <v>605</v>
      </c>
      <c r="H28" s="13" t="s">
        <v>52</v>
      </c>
      <c r="I28" s="13" t="s">
        <v>460</v>
      </c>
      <c r="J28" s="13" t="s">
        <v>7</v>
      </c>
      <c r="K28" s="17">
        <f t="shared" si="0"/>
        <v>1</v>
      </c>
      <c r="L28" s="13" t="s">
        <v>606</v>
      </c>
      <c r="M28" s="13" t="s">
        <v>22</v>
      </c>
      <c r="N28" s="13" t="s">
        <v>220</v>
      </c>
      <c r="O28" s="15">
        <f>总览!$C$5+1</f>
        <v>46216</v>
      </c>
      <c r="P28" s="15"/>
      <c r="Q28" s="12" t="s">
        <v>2506</v>
      </c>
      <c r="R28" s="12" t="s">
        <v>2507</v>
      </c>
      <c r="S28" s="12" t="s">
        <v>2508</v>
      </c>
    </row>
    <row r="29" spans="1:19" ht="46.5">
      <c r="A29" s="13" t="s">
        <v>607</v>
      </c>
      <c r="B29" s="13" t="s">
        <v>568</v>
      </c>
      <c r="C29" s="13" t="s">
        <v>608</v>
      </c>
      <c r="D29" s="13" t="s">
        <v>609</v>
      </c>
      <c r="E29" s="12" t="s">
        <v>610</v>
      </c>
      <c r="F29" s="12" t="s">
        <v>611</v>
      </c>
      <c r="G29" s="12" t="s">
        <v>612</v>
      </c>
      <c r="H29" s="13" t="s">
        <v>52</v>
      </c>
      <c r="I29" s="13" t="s">
        <v>460</v>
      </c>
      <c r="J29" s="13" t="s">
        <v>7</v>
      </c>
      <c r="K29" s="17">
        <f t="shared" si="0"/>
        <v>1</v>
      </c>
      <c r="L29" s="13" t="s">
        <v>613</v>
      </c>
      <c r="M29" s="13" t="s">
        <v>24</v>
      </c>
      <c r="N29" s="13" t="s">
        <v>220</v>
      </c>
      <c r="O29" s="15">
        <f>总览!$C$5+2</f>
        <v>46217</v>
      </c>
      <c r="P29" s="15"/>
      <c r="Q29" s="12" t="s">
        <v>2506</v>
      </c>
      <c r="R29" s="12" t="s">
        <v>2507</v>
      </c>
      <c r="S29" s="12" t="s">
        <v>2508</v>
      </c>
    </row>
    <row r="30" spans="1:19">
      <c r="A30" s="13" t="s">
        <v>614</v>
      </c>
      <c r="B30" s="13" t="s">
        <v>568</v>
      </c>
      <c r="C30" s="13" t="s">
        <v>615</v>
      </c>
      <c r="D30" s="13" t="s">
        <v>616</v>
      </c>
      <c r="E30" s="12" t="s">
        <v>617</v>
      </c>
      <c r="F30" s="12" t="s">
        <v>618</v>
      </c>
      <c r="G30" s="12" t="s">
        <v>619</v>
      </c>
      <c r="H30" s="13" t="s">
        <v>76</v>
      </c>
      <c r="I30" s="13" t="s">
        <v>540</v>
      </c>
      <c r="J30" s="13" t="s">
        <v>69</v>
      </c>
      <c r="K30" s="17">
        <f t="shared" si="0"/>
        <v>0</v>
      </c>
      <c r="L30" s="13" t="s">
        <v>620</v>
      </c>
      <c r="M30" s="13" t="s">
        <v>28</v>
      </c>
      <c r="N30" s="13" t="s">
        <v>220</v>
      </c>
      <c r="O30" s="15">
        <f>总览!$C$5+4</f>
        <v>46219</v>
      </c>
      <c r="P30" s="15"/>
      <c r="Q30" s="12"/>
      <c r="R30" s="12"/>
      <c r="S30" s="12"/>
    </row>
    <row r="31" spans="1:19" ht="46.5">
      <c r="A31" s="13" t="s">
        <v>621</v>
      </c>
      <c r="B31" s="13" t="s">
        <v>568</v>
      </c>
      <c r="C31" s="13" t="s">
        <v>622</v>
      </c>
      <c r="D31" s="13" t="s">
        <v>623</v>
      </c>
      <c r="E31" s="12" t="s">
        <v>624</v>
      </c>
      <c r="F31" s="12" t="s">
        <v>625</v>
      </c>
      <c r="G31" s="12" t="s">
        <v>626</v>
      </c>
      <c r="H31" s="13" t="s">
        <v>52</v>
      </c>
      <c r="I31" s="13" t="s">
        <v>460</v>
      </c>
      <c r="J31" s="13" t="s">
        <v>312</v>
      </c>
      <c r="K31" s="17" t="str">
        <f t="shared" si="0"/>
        <v/>
      </c>
      <c r="L31" s="13" t="s">
        <v>463</v>
      </c>
      <c r="M31" s="13" t="s">
        <v>22</v>
      </c>
      <c r="N31" s="13" t="s">
        <v>627</v>
      </c>
      <c r="O31" s="15">
        <f>总览!$C$5+1</f>
        <v>46216</v>
      </c>
      <c r="P31" s="15"/>
      <c r="Q31" s="12" t="s">
        <v>2491</v>
      </c>
      <c r="R31" s="12" t="s">
        <v>2492</v>
      </c>
      <c r="S31" s="12" t="s">
        <v>2493</v>
      </c>
    </row>
    <row r="32" spans="1:19" ht="46.5">
      <c r="A32" s="13" t="s">
        <v>628</v>
      </c>
      <c r="B32" s="13" t="s">
        <v>629</v>
      </c>
      <c r="C32" s="13" t="s">
        <v>630</v>
      </c>
      <c r="D32" s="13" t="s">
        <v>631</v>
      </c>
      <c r="E32" s="12" t="s">
        <v>632</v>
      </c>
      <c r="F32" s="12" t="s">
        <v>633</v>
      </c>
      <c r="G32" s="12" t="s">
        <v>634</v>
      </c>
      <c r="H32" s="13" t="s">
        <v>52</v>
      </c>
      <c r="I32" s="13" t="s">
        <v>460</v>
      </c>
      <c r="J32" s="13" t="s">
        <v>7</v>
      </c>
      <c r="K32" s="17">
        <f t="shared" si="0"/>
        <v>1</v>
      </c>
      <c r="L32" s="13" t="s">
        <v>517</v>
      </c>
      <c r="M32" s="13" t="s">
        <v>22</v>
      </c>
      <c r="N32" s="13" t="s">
        <v>220</v>
      </c>
      <c r="O32" s="15">
        <f>总览!$C$5+1</f>
        <v>46216</v>
      </c>
      <c r="P32" s="15"/>
      <c r="Q32" s="12" t="s">
        <v>2509</v>
      </c>
      <c r="R32" s="12" t="s">
        <v>2510</v>
      </c>
      <c r="S32" s="12" t="s">
        <v>2511</v>
      </c>
    </row>
    <row r="33" spans="1:19" ht="46.5">
      <c r="A33" s="13" t="s">
        <v>635</v>
      </c>
      <c r="B33" s="13" t="s">
        <v>629</v>
      </c>
      <c r="C33" s="13" t="s">
        <v>630</v>
      </c>
      <c r="D33" s="13" t="s">
        <v>636</v>
      </c>
      <c r="E33" s="12" t="s">
        <v>637</v>
      </c>
      <c r="F33" s="12" t="s">
        <v>638</v>
      </c>
      <c r="G33" s="12" t="s">
        <v>639</v>
      </c>
      <c r="H33" s="13" t="s">
        <v>52</v>
      </c>
      <c r="I33" s="13" t="s">
        <v>460</v>
      </c>
      <c r="J33" s="13" t="s">
        <v>7</v>
      </c>
      <c r="K33" s="17">
        <f t="shared" si="0"/>
        <v>1</v>
      </c>
      <c r="L33" s="13" t="s">
        <v>640</v>
      </c>
      <c r="M33" s="13" t="s">
        <v>22</v>
      </c>
      <c r="N33" s="13" t="s">
        <v>220</v>
      </c>
      <c r="O33" s="15">
        <f>总览!$C$5+1</f>
        <v>46216</v>
      </c>
      <c r="P33" s="15"/>
      <c r="Q33" s="12" t="s">
        <v>2509</v>
      </c>
      <c r="R33" s="12" t="s">
        <v>2510</v>
      </c>
      <c r="S33" s="12" t="s">
        <v>2511</v>
      </c>
    </row>
    <row r="34" spans="1:19" ht="46.5">
      <c r="A34" s="13" t="s">
        <v>641</v>
      </c>
      <c r="B34" s="13" t="s">
        <v>629</v>
      </c>
      <c r="C34" s="13" t="s">
        <v>642</v>
      </c>
      <c r="D34" s="13" t="s">
        <v>643</v>
      </c>
      <c r="E34" s="12" t="s">
        <v>644</v>
      </c>
      <c r="F34" s="12" t="s">
        <v>645</v>
      </c>
      <c r="G34" s="12" t="s">
        <v>646</v>
      </c>
      <c r="H34" s="13" t="s">
        <v>52</v>
      </c>
      <c r="I34" s="13" t="s">
        <v>460</v>
      </c>
      <c r="J34" s="13" t="s">
        <v>7</v>
      </c>
      <c r="K34" s="17">
        <f t="shared" si="0"/>
        <v>1</v>
      </c>
      <c r="L34" s="13" t="s">
        <v>647</v>
      </c>
      <c r="M34" s="13" t="s">
        <v>24</v>
      </c>
      <c r="N34" s="13" t="s">
        <v>220</v>
      </c>
      <c r="O34" s="15">
        <f>总览!$C$5+2</f>
        <v>46217</v>
      </c>
      <c r="P34" s="15"/>
      <c r="Q34" s="12" t="s">
        <v>2509</v>
      </c>
      <c r="R34" s="12" t="s">
        <v>2510</v>
      </c>
      <c r="S34" s="12" t="s">
        <v>2511</v>
      </c>
    </row>
    <row r="35" spans="1:19" ht="46.5">
      <c r="A35" s="13" t="s">
        <v>648</v>
      </c>
      <c r="B35" s="13" t="s">
        <v>629</v>
      </c>
      <c r="C35" s="13" t="s">
        <v>649</v>
      </c>
      <c r="D35" s="13" t="s">
        <v>650</v>
      </c>
      <c r="E35" s="12" t="s">
        <v>651</v>
      </c>
      <c r="F35" s="12" t="s">
        <v>652</v>
      </c>
      <c r="G35" s="12" t="s">
        <v>653</v>
      </c>
      <c r="H35" s="13" t="s">
        <v>52</v>
      </c>
      <c r="I35" s="13" t="s">
        <v>460</v>
      </c>
      <c r="J35" s="13" t="s">
        <v>7</v>
      </c>
      <c r="K35" s="17">
        <f t="shared" si="0"/>
        <v>1</v>
      </c>
      <c r="L35" s="13" t="s">
        <v>654</v>
      </c>
      <c r="M35" s="13" t="s">
        <v>22</v>
      </c>
      <c r="N35" s="13" t="s">
        <v>220</v>
      </c>
      <c r="O35" s="15">
        <f>总览!$C$5+1</f>
        <v>46216</v>
      </c>
      <c r="P35" s="15"/>
      <c r="Q35" s="12" t="s">
        <v>2509</v>
      </c>
      <c r="R35" s="12" t="s">
        <v>2510</v>
      </c>
      <c r="S35" s="12" t="s">
        <v>2511</v>
      </c>
    </row>
    <row r="36" spans="1:19" ht="46.5">
      <c r="A36" s="13" t="s">
        <v>655</v>
      </c>
      <c r="B36" s="13" t="s">
        <v>629</v>
      </c>
      <c r="C36" s="13" t="s">
        <v>656</v>
      </c>
      <c r="D36" s="13" t="s">
        <v>657</v>
      </c>
      <c r="E36" s="12" t="s">
        <v>658</v>
      </c>
      <c r="F36" s="12" t="s">
        <v>659</v>
      </c>
      <c r="G36" s="12" t="s">
        <v>660</v>
      </c>
      <c r="H36" s="13" t="s">
        <v>52</v>
      </c>
      <c r="I36" s="13" t="s">
        <v>460</v>
      </c>
      <c r="J36" s="13" t="s">
        <v>7</v>
      </c>
      <c r="K36" s="17">
        <f t="shared" si="0"/>
        <v>1</v>
      </c>
      <c r="L36" s="13" t="s">
        <v>661</v>
      </c>
      <c r="M36" s="13" t="s">
        <v>24</v>
      </c>
      <c r="N36" s="13" t="s">
        <v>220</v>
      </c>
      <c r="O36" s="15">
        <f>总览!$C$5+2</f>
        <v>46217</v>
      </c>
      <c r="P36" s="15"/>
      <c r="Q36" s="12" t="s">
        <v>2509</v>
      </c>
      <c r="R36" s="12" t="s">
        <v>2510</v>
      </c>
      <c r="S36" s="12" t="s">
        <v>2511</v>
      </c>
    </row>
    <row r="37" spans="1:19" ht="46.5">
      <c r="A37" s="13" t="s">
        <v>662</v>
      </c>
      <c r="B37" s="13" t="s">
        <v>629</v>
      </c>
      <c r="C37" s="13" t="s">
        <v>663</v>
      </c>
      <c r="D37" s="13" t="s">
        <v>664</v>
      </c>
      <c r="E37" s="12" t="s">
        <v>665</v>
      </c>
      <c r="F37" s="12" t="s">
        <v>666</v>
      </c>
      <c r="G37" s="12" t="s">
        <v>667</v>
      </c>
      <c r="H37" s="13" t="s">
        <v>52</v>
      </c>
      <c r="I37" s="13" t="s">
        <v>460</v>
      </c>
      <c r="J37" s="13" t="s">
        <v>7</v>
      </c>
      <c r="K37" s="17">
        <f t="shared" ref="K37:K68" si="1">IF(J37="不适用","",IF(J37="已完成",1,IF(J37="待审核",0.9,IF(J37="进行中",0.5,IF(J37="已阻塞",0.25,0)))))</f>
        <v>1</v>
      </c>
      <c r="L37" s="13" t="s">
        <v>640</v>
      </c>
      <c r="M37" s="13" t="s">
        <v>24</v>
      </c>
      <c r="N37" s="13" t="s">
        <v>220</v>
      </c>
      <c r="O37" s="15">
        <f>总览!$C$5+2</f>
        <v>46217</v>
      </c>
      <c r="P37" s="15"/>
      <c r="Q37" s="12" t="s">
        <v>2509</v>
      </c>
      <c r="R37" s="12" t="s">
        <v>2510</v>
      </c>
      <c r="S37" s="12" t="s">
        <v>2511</v>
      </c>
    </row>
    <row r="38" spans="1:19" ht="46.5">
      <c r="A38" s="13" t="s">
        <v>668</v>
      </c>
      <c r="B38" s="13" t="s">
        <v>629</v>
      </c>
      <c r="C38" s="13" t="s">
        <v>669</v>
      </c>
      <c r="D38" s="13" t="s">
        <v>670</v>
      </c>
      <c r="E38" s="12" t="s">
        <v>671</v>
      </c>
      <c r="F38" s="12" t="s">
        <v>672</v>
      </c>
      <c r="G38" s="12" t="s">
        <v>673</v>
      </c>
      <c r="H38" s="13" t="s">
        <v>52</v>
      </c>
      <c r="I38" s="13" t="s">
        <v>460</v>
      </c>
      <c r="J38" s="13" t="s">
        <v>7</v>
      </c>
      <c r="K38" s="17">
        <f t="shared" si="1"/>
        <v>1</v>
      </c>
      <c r="L38" s="13" t="s">
        <v>674</v>
      </c>
      <c r="M38" s="13" t="s">
        <v>24</v>
      </c>
      <c r="N38" s="13" t="s">
        <v>220</v>
      </c>
      <c r="O38" s="15">
        <f>总览!$C$5+2</f>
        <v>46217</v>
      </c>
      <c r="P38" s="15"/>
      <c r="Q38" s="12" t="s">
        <v>2509</v>
      </c>
      <c r="R38" s="12" t="s">
        <v>2510</v>
      </c>
      <c r="S38" s="12" t="s">
        <v>2511</v>
      </c>
    </row>
    <row r="39" spans="1:19" ht="46.5">
      <c r="A39" s="13" t="s">
        <v>675</v>
      </c>
      <c r="B39" s="13" t="s">
        <v>629</v>
      </c>
      <c r="C39" s="13" t="s">
        <v>676</v>
      </c>
      <c r="D39" s="13" t="s">
        <v>677</v>
      </c>
      <c r="E39" s="12" t="s">
        <v>678</v>
      </c>
      <c r="F39" s="12" t="s">
        <v>679</v>
      </c>
      <c r="G39" s="12" t="s">
        <v>680</v>
      </c>
      <c r="H39" s="13" t="s">
        <v>52</v>
      </c>
      <c r="I39" s="13" t="s">
        <v>460</v>
      </c>
      <c r="J39" s="13" t="s">
        <v>7</v>
      </c>
      <c r="K39" s="17">
        <f t="shared" si="1"/>
        <v>1</v>
      </c>
      <c r="L39" s="13" t="s">
        <v>681</v>
      </c>
      <c r="M39" s="13" t="s">
        <v>24</v>
      </c>
      <c r="N39" s="13" t="s">
        <v>220</v>
      </c>
      <c r="O39" s="15">
        <f>总览!$C$5+2</f>
        <v>46217</v>
      </c>
      <c r="P39" s="15"/>
      <c r="Q39" s="12" t="s">
        <v>2509</v>
      </c>
      <c r="R39" s="12" t="s">
        <v>2510</v>
      </c>
      <c r="S39" s="12" t="s">
        <v>2511</v>
      </c>
    </row>
    <row r="40" spans="1:19" ht="46.5">
      <c r="A40" s="13" t="s">
        <v>682</v>
      </c>
      <c r="B40" s="13" t="s">
        <v>629</v>
      </c>
      <c r="C40" s="13" t="s">
        <v>683</v>
      </c>
      <c r="D40" s="13" t="s">
        <v>684</v>
      </c>
      <c r="E40" s="12" t="s">
        <v>685</v>
      </c>
      <c r="F40" s="12" t="s">
        <v>686</v>
      </c>
      <c r="G40" s="12" t="s">
        <v>687</v>
      </c>
      <c r="H40" s="13" t="s">
        <v>52</v>
      </c>
      <c r="I40" s="13" t="s">
        <v>460</v>
      </c>
      <c r="J40" s="13" t="s">
        <v>7</v>
      </c>
      <c r="K40" s="17">
        <f t="shared" si="1"/>
        <v>1</v>
      </c>
      <c r="L40" s="13" t="s">
        <v>688</v>
      </c>
      <c r="M40" s="13" t="s">
        <v>26</v>
      </c>
      <c r="N40" s="13" t="s">
        <v>220</v>
      </c>
      <c r="O40" s="15">
        <f>总览!$C$5+3</f>
        <v>46218</v>
      </c>
      <c r="P40" s="15"/>
      <c r="Q40" s="12" t="s">
        <v>2509</v>
      </c>
      <c r="R40" s="12" t="s">
        <v>2510</v>
      </c>
      <c r="S40" s="12" t="s">
        <v>2511</v>
      </c>
    </row>
    <row r="41" spans="1:19" ht="34.9">
      <c r="A41" s="13" t="s">
        <v>689</v>
      </c>
      <c r="B41" s="13" t="s">
        <v>629</v>
      </c>
      <c r="C41" s="13" t="s">
        <v>690</v>
      </c>
      <c r="D41" s="13" t="s">
        <v>691</v>
      </c>
      <c r="E41" s="12" t="s">
        <v>692</v>
      </c>
      <c r="F41" s="12" t="s">
        <v>693</v>
      </c>
      <c r="G41" s="12" t="s">
        <v>694</v>
      </c>
      <c r="H41" s="13" t="s">
        <v>76</v>
      </c>
      <c r="I41" s="13" t="s">
        <v>460</v>
      </c>
      <c r="J41" s="13" t="s">
        <v>107</v>
      </c>
      <c r="K41" s="17">
        <f t="shared" si="1"/>
        <v>0.5</v>
      </c>
      <c r="L41" s="13" t="s">
        <v>695</v>
      </c>
      <c r="M41" s="13" t="s">
        <v>30</v>
      </c>
      <c r="N41" s="13" t="s">
        <v>627</v>
      </c>
      <c r="O41" s="15">
        <f>总览!$C$5+5</f>
        <v>46220</v>
      </c>
      <c r="P41" s="15"/>
      <c r="Q41" s="12" t="s">
        <v>2512</v>
      </c>
      <c r="R41" s="12" t="s">
        <v>2513</v>
      </c>
      <c r="S41" s="12" t="s">
        <v>2514</v>
      </c>
    </row>
    <row r="42" spans="1:19" ht="34.9">
      <c r="A42" s="13" t="s">
        <v>696</v>
      </c>
      <c r="B42" s="13" t="s">
        <v>697</v>
      </c>
      <c r="C42" s="13" t="s">
        <v>698</v>
      </c>
      <c r="D42" s="13" t="s">
        <v>699</v>
      </c>
      <c r="E42" s="12" t="s">
        <v>700</v>
      </c>
      <c r="F42" s="12" t="s">
        <v>701</v>
      </c>
      <c r="G42" s="12" t="s">
        <v>702</v>
      </c>
      <c r="H42" s="13" t="s">
        <v>52</v>
      </c>
      <c r="I42" s="13" t="s">
        <v>460</v>
      </c>
      <c r="J42" s="13" t="s">
        <v>7</v>
      </c>
      <c r="K42" s="17">
        <f t="shared" si="1"/>
        <v>1</v>
      </c>
      <c r="L42" s="13" t="s">
        <v>703</v>
      </c>
      <c r="M42" s="13" t="s">
        <v>24</v>
      </c>
      <c r="N42" s="13" t="s">
        <v>220</v>
      </c>
      <c r="O42" s="15">
        <f>总览!$C$5+2</f>
        <v>46217</v>
      </c>
      <c r="P42" s="15"/>
      <c r="Q42" s="12" t="s">
        <v>2515</v>
      </c>
      <c r="R42" s="12" t="s">
        <v>2516</v>
      </c>
      <c r="S42" s="12" t="s">
        <v>2517</v>
      </c>
    </row>
    <row r="43" spans="1:19" ht="34.9">
      <c r="A43" s="13" t="s">
        <v>704</v>
      </c>
      <c r="B43" s="13" t="s">
        <v>697</v>
      </c>
      <c r="C43" s="13" t="s">
        <v>705</v>
      </c>
      <c r="D43" s="13" t="s">
        <v>706</v>
      </c>
      <c r="E43" s="12" t="s">
        <v>700</v>
      </c>
      <c r="F43" s="12" t="s">
        <v>707</v>
      </c>
      <c r="G43" s="12" t="s">
        <v>708</v>
      </c>
      <c r="H43" s="13" t="s">
        <v>52</v>
      </c>
      <c r="I43" s="13" t="s">
        <v>460</v>
      </c>
      <c r="J43" s="13" t="s">
        <v>7</v>
      </c>
      <c r="K43" s="17">
        <f t="shared" si="1"/>
        <v>1</v>
      </c>
      <c r="L43" s="13" t="s">
        <v>703</v>
      </c>
      <c r="M43" s="13" t="s">
        <v>24</v>
      </c>
      <c r="N43" s="13" t="s">
        <v>220</v>
      </c>
      <c r="O43" s="15">
        <f>总览!$C$5+2</f>
        <v>46217</v>
      </c>
      <c r="P43" s="15"/>
      <c r="Q43" s="12" t="s">
        <v>2515</v>
      </c>
      <c r="R43" s="12" t="s">
        <v>2516</v>
      </c>
      <c r="S43" s="12" t="s">
        <v>2517</v>
      </c>
    </row>
    <row r="44" spans="1:19" ht="34.9">
      <c r="A44" s="13" t="s">
        <v>709</v>
      </c>
      <c r="B44" s="13" t="s">
        <v>697</v>
      </c>
      <c r="C44" s="13" t="s">
        <v>710</v>
      </c>
      <c r="D44" s="13" t="s">
        <v>711</v>
      </c>
      <c r="E44" s="12" t="s">
        <v>700</v>
      </c>
      <c r="F44" s="12" t="s">
        <v>712</v>
      </c>
      <c r="G44" s="12" t="s">
        <v>713</v>
      </c>
      <c r="H44" s="13" t="s">
        <v>52</v>
      </c>
      <c r="I44" s="13" t="s">
        <v>460</v>
      </c>
      <c r="J44" s="13" t="s">
        <v>7</v>
      </c>
      <c r="K44" s="17">
        <f t="shared" si="1"/>
        <v>1</v>
      </c>
      <c r="L44" s="13" t="s">
        <v>703</v>
      </c>
      <c r="M44" s="13" t="s">
        <v>24</v>
      </c>
      <c r="N44" s="13" t="s">
        <v>220</v>
      </c>
      <c r="O44" s="15">
        <f>总览!$C$5+2</f>
        <v>46217</v>
      </c>
      <c r="P44" s="15"/>
      <c r="Q44" s="12" t="s">
        <v>2515</v>
      </c>
      <c r="R44" s="12" t="s">
        <v>2516</v>
      </c>
      <c r="S44" s="12" t="s">
        <v>2517</v>
      </c>
    </row>
    <row r="45" spans="1:19" ht="34.9">
      <c r="A45" s="13" t="s">
        <v>714</v>
      </c>
      <c r="B45" s="13" t="s">
        <v>697</v>
      </c>
      <c r="C45" s="13" t="s">
        <v>715</v>
      </c>
      <c r="D45" s="13" t="s">
        <v>716</v>
      </c>
      <c r="E45" s="12" t="s">
        <v>700</v>
      </c>
      <c r="F45" s="12" t="s">
        <v>717</v>
      </c>
      <c r="G45" s="12" t="s">
        <v>718</v>
      </c>
      <c r="H45" s="13" t="s">
        <v>52</v>
      </c>
      <c r="I45" s="13" t="s">
        <v>460</v>
      </c>
      <c r="J45" s="13" t="s">
        <v>7</v>
      </c>
      <c r="K45" s="17">
        <f t="shared" si="1"/>
        <v>1</v>
      </c>
      <c r="L45" s="13" t="s">
        <v>703</v>
      </c>
      <c r="M45" s="13" t="s">
        <v>24</v>
      </c>
      <c r="N45" s="13" t="s">
        <v>220</v>
      </c>
      <c r="O45" s="15">
        <f>总览!$C$5+2</f>
        <v>46217</v>
      </c>
      <c r="P45" s="15"/>
      <c r="Q45" s="12" t="s">
        <v>2515</v>
      </c>
      <c r="R45" s="12" t="s">
        <v>2516</v>
      </c>
      <c r="S45" s="12" t="s">
        <v>2517</v>
      </c>
    </row>
    <row r="46" spans="1:19" ht="34.9">
      <c r="A46" s="13" t="s">
        <v>719</v>
      </c>
      <c r="B46" s="13" t="s">
        <v>697</v>
      </c>
      <c r="C46" s="13" t="s">
        <v>720</v>
      </c>
      <c r="D46" s="13" t="s">
        <v>721</v>
      </c>
      <c r="E46" s="12" t="s">
        <v>700</v>
      </c>
      <c r="F46" s="12" t="s">
        <v>722</v>
      </c>
      <c r="G46" s="12" t="s">
        <v>723</v>
      </c>
      <c r="H46" s="13" t="s">
        <v>52</v>
      </c>
      <c r="I46" s="13" t="s">
        <v>460</v>
      </c>
      <c r="J46" s="13" t="s">
        <v>7</v>
      </c>
      <c r="K46" s="17">
        <f t="shared" si="1"/>
        <v>1</v>
      </c>
      <c r="L46" s="13" t="s">
        <v>703</v>
      </c>
      <c r="M46" s="13" t="s">
        <v>24</v>
      </c>
      <c r="N46" s="13" t="s">
        <v>220</v>
      </c>
      <c r="O46" s="15">
        <f>总览!$C$5+2</f>
        <v>46217</v>
      </c>
      <c r="P46" s="15"/>
      <c r="Q46" s="12" t="s">
        <v>2515</v>
      </c>
      <c r="R46" s="12" t="s">
        <v>2516</v>
      </c>
      <c r="S46" s="12" t="s">
        <v>2517</v>
      </c>
    </row>
    <row r="47" spans="1:19" ht="34.9">
      <c r="A47" s="13" t="s">
        <v>724</v>
      </c>
      <c r="B47" s="13" t="s">
        <v>697</v>
      </c>
      <c r="C47" s="13" t="s">
        <v>725</v>
      </c>
      <c r="D47" s="13" t="s">
        <v>726</v>
      </c>
      <c r="E47" s="12" t="s">
        <v>700</v>
      </c>
      <c r="F47" s="12" t="s">
        <v>727</v>
      </c>
      <c r="G47" s="12" t="s">
        <v>728</v>
      </c>
      <c r="H47" s="13" t="s">
        <v>52</v>
      </c>
      <c r="I47" s="13" t="s">
        <v>460</v>
      </c>
      <c r="J47" s="13" t="s">
        <v>7</v>
      </c>
      <c r="K47" s="17">
        <f t="shared" si="1"/>
        <v>1</v>
      </c>
      <c r="L47" s="13" t="s">
        <v>703</v>
      </c>
      <c r="M47" s="13" t="s">
        <v>24</v>
      </c>
      <c r="N47" s="13" t="s">
        <v>220</v>
      </c>
      <c r="O47" s="15">
        <f>总览!$C$5+2</f>
        <v>46217</v>
      </c>
      <c r="P47" s="15"/>
      <c r="Q47" s="12" t="s">
        <v>2515</v>
      </c>
      <c r="R47" s="12" t="s">
        <v>2516</v>
      </c>
      <c r="S47" s="12" t="s">
        <v>2517</v>
      </c>
    </row>
    <row r="48" spans="1:19" ht="34.9">
      <c r="A48" s="13" t="s">
        <v>729</v>
      </c>
      <c r="B48" s="13" t="s">
        <v>697</v>
      </c>
      <c r="C48" s="13" t="s">
        <v>730</v>
      </c>
      <c r="D48" s="13" t="s">
        <v>731</v>
      </c>
      <c r="E48" s="12" t="s">
        <v>700</v>
      </c>
      <c r="F48" s="12" t="s">
        <v>732</v>
      </c>
      <c r="G48" s="12" t="s">
        <v>733</v>
      </c>
      <c r="H48" s="13" t="s">
        <v>52</v>
      </c>
      <c r="I48" s="13" t="s">
        <v>460</v>
      </c>
      <c r="J48" s="13" t="s">
        <v>7</v>
      </c>
      <c r="K48" s="17">
        <f t="shared" si="1"/>
        <v>1</v>
      </c>
      <c r="L48" s="13" t="s">
        <v>703</v>
      </c>
      <c r="M48" s="13" t="s">
        <v>24</v>
      </c>
      <c r="N48" s="13" t="s">
        <v>220</v>
      </c>
      <c r="O48" s="15">
        <f>总览!$C$5+2</f>
        <v>46217</v>
      </c>
      <c r="P48" s="15"/>
      <c r="Q48" s="12" t="s">
        <v>2515</v>
      </c>
      <c r="R48" s="12" t="s">
        <v>2516</v>
      </c>
      <c r="S48" s="12" t="s">
        <v>2517</v>
      </c>
    </row>
    <row r="49" spans="1:19" ht="34.9">
      <c r="A49" s="13" t="s">
        <v>734</v>
      </c>
      <c r="B49" s="13" t="s">
        <v>697</v>
      </c>
      <c r="C49" s="13" t="s">
        <v>735</v>
      </c>
      <c r="D49" s="13" t="s">
        <v>736</v>
      </c>
      <c r="E49" s="12" t="s">
        <v>700</v>
      </c>
      <c r="F49" s="12" t="s">
        <v>737</v>
      </c>
      <c r="G49" s="12" t="s">
        <v>738</v>
      </c>
      <c r="H49" s="13" t="s">
        <v>52</v>
      </c>
      <c r="I49" s="13" t="s">
        <v>460</v>
      </c>
      <c r="J49" s="13" t="s">
        <v>7</v>
      </c>
      <c r="K49" s="17">
        <f t="shared" si="1"/>
        <v>1</v>
      </c>
      <c r="L49" s="13" t="s">
        <v>703</v>
      </c>
      <c r="M49" s="13" t="s">
        <v>24</v>
      </c>
      <c r="N49" s="13" t="s">
        <v>220</v>
      </c>
      <c r="O49" s="15">
        <f>总览!$C$5+2</f>
        <v>46217</v>
      </c>
      <c r="P49" s="15"/>
      <c r="Q49" s="12" t="s">
        <v>2515</v>
      </c>
      <c r="R49" s="12" t="s">
        <v>2516</v>
      </c>
      <c r="S49" s="12" t="s">
        <v>2517</v>
      </c>
    </row>
    <row r="50" spans="1:19" ht="34.9">
      <c r="A50" s="13" t="s">
        <v>739</v>
      </c>
      <c r="B50" s="13" t="s">
        <v>697</v>
      </c>
      <c r="C50" s="13" t="s">
        <v>740</v>
      </c>
      <c r="D50" s="13" t="s">
        <v>741</v>
      </c>
      <c r="E50" s="12" t="s">
        <v>700</v>
      </c>
      <c r="F50" s="12" t="s">
        <v>742</v>
      </c>
      <c r="G50" s="12" t="s">
        <v>743</v>
      </c>
      <c r="H50" s="13" t="s">
        <v>52</v>
      </c>
      <c r="I50" s="13" t="s">
        <v>460</v>
      </c>
      <c r="J50" s="13" t="s">
        <v>7</v>
      </c>
      <c r="K50" s="17">
        <f t="shared" si="1"/>
        <v>1</v>
      </c>
      <c r="L50" s="13" t="s">
        <v>703</v>
      </c>
      <c r="M50" s="13" t="s">
        <v>24</v>
      </c>
      <c r="N50" s="13" t="s">
        <v>220</v>
      </c>
      <c r="O50" s="15">
        <f>总览!$C$5+2</f>
        <v>46217</v>
      </c>
      <c r="P50" s="15"/>
      <c r="Q50" s="12" t="s">
        <v>2515</v>
      </c>
      <c r="R50" s="12" t="s">
        <v>2516</v>
      </c>
      <c r="S50" s="12" t="s">
        <v>2517</v>
      </c>
    </row>
    <row r="51" spans="1:19" ht="34.9">
      <c r="A51" s="13" t="s">
        <v>744</v>
      </c>
      <c r="B51" s="13" t="s">
        <v>697</v>
      </c>
      <c r="C51" s="13" t="s">
        <v>745</v>
      </c>
      <c r="D51" s="13" t="s">
        <v>746</v>
      </c>
      <c r="E51" s="12" t="s">
        <v>700</v>
      </c>
      <c r="F51" s="12" t="s">
        <v>747</v>
      </c>
      <c r="G51" s="12" t="s">
        <v>748</v>
      </c>
      <c r="H51" s="13" t="s">
        <v>52</v>
      </c>
      <c r="I51" s="13" t="s">
        <v>460</v>
      </c>
      <c r="J51" s="13" t="s">
        <v>7</v>
      </c>
      <c r="K51" s="17">
        <f t="shared" si="1"/>
        <v>1</v>
      </c>
      <c r="L51" s="13" t="s">
        <v>703</v>
      </c>
      <c r="M51" s="13" t="s">
        <v>24</v>
      </c>
      <c r="N51" s="13" t="s">
        <v>220</v>
      </c>
      <c r="O51" s="15">
        <f>总览!$C$5+2</f>
        <v>46217</v>
      </c>
      <c r="P51" s="15"/>
      <c r="Q51" s="12" t="s">
        <v>2515</v>
      </c>
      <c r="R51" s="12" t="s">
        <v>2516</v>
      </c>
      <c r="S51" s="12" t="s">
        <v>2517</v>
      </c>
    </row>
    <row r="52" spans="1:19" ht="34.9">
      <c r="A52" s="13" t="s">
        <v>749</v>
      </c>
      <c r="B52" s="13" t="s">
        <v>697</v>
      </c>
      <c r="C52" s="13" t="s">
        <v>750</v>
      </c>
      <c r="D52" s="13" t="s">
        <v>751</v>
      </c>
      <c r="E52" s="12" t="s">
        <v>700</v>
      </c>
      <c r="F52" s="12" t="s">
        <v>752</v>
      </c>
      <c r="G52" s="12" t="s">
        <v>753</v>
      </c>
      <c r="H52" s="13" t="s">
        <v>52</v>
      </c>
      <c r="I52" s="13" t="s">
        <v>460</v>
      </c>
      <c r="J52" s="13" t="s">
        <v>7</v>
      </c>
      <c r="K52" s="17">
        <f t="shared" si="1"/>
        <v>1</v>
      </c>
      <c r="L52" s="13" t="s">
        <v>703</v>
      </c>
      <c r="M52" s="13" t="s">
        <v>24</v>
      </c>
      <c r="N52" s="13" t="s">
        <v>220</v>
      </c>
      <c r="O52" s="15">
        <f>总览!$C$5+2</f>
        <v>46217</v>
      </c>
      <c r="P52" s="15"/>
      <c r="Q52" s="12" t="s">
        <v>2515</v>
      </c>
      <c r="R52" s="12" t="s">
        <v>2516</v>
      </c>
      <c r="S52" s="12" t="s">
        <v>2517</v>
      </c>
    </row>
    <row r="53" spans="1:19" ht="34.9">
      <c r="A53" s="13" t="s">
        <v>754</v>
      </c>
      <c r="B53" s="13" t="s">
        <v>697</v>
      </c>
      <c r="C53" s="13" t="s">
        <v>620</v>
      </c>
      <c r="D53" s="13" t="s">
        <v>755</v>
      </c>
      <c r="E53" s="12" t="s">
        <v>700</v>
      </c>
      <c r="F53" s="12" t="s">
        <v>756</v>
      </c>
      <c r="G53" s="12" t="s">
        <v>757</v>
      </c>
      <c r="H53" s="13" t="s">
        <v>52</v>
      </c>
      <c r="I53" s="13" t="s">
        <v>460</v>
      </c>
      <c r="J53" s="13" t="s">
        <v>7</v>
      </c>
      <c r="K53" s="17">
        <f t="shared" si="1"/>
        <v>1</v>
      </c>
      <c r="L53" s="13" t="s">
        <v>703</v>
      </c>
      <c r="M53" s="13" t="s">
        <v>24</v>
      </c>
      <c r="N53" s="13" t="s">
        <v>220</v>
      </c>
      <c r="O53" s="15">
        <f>总览!$C$5+2</f>
        <v>46217</v>
      </c>
      <c r="P53" s="15"/>
      <c r="Q53" s="12" t="s">
        <v>2515</v>
      </c>
      <c r="R53" s="12" t="s">
        <v>2516</v>
      </c>
      <c r="S53" s="12" t="s">
        <v>2517</v>
      </c>
    </row>
    <row r="54" spans="1:19" ht="34.9">
      <c r="A54" s="13" t="s">
        <v>758</v>
      </c>
      <c r="B54" s="13" t="s">
        <v>697</v>
      </c>
      <c r="C54" s="13" t="s">
        <v>759</v>
      </c>
      <c r="D54" s="13" t="s">
        <v>760</v>
      </c>
      <c r="E54" s="12" t="s">
        <v>761</v>
      </c>
      <c r="F54" s="12" t="s">
        <v>762</v>
      </c>
      <c r="G54" s="12" t="s">
        <v>763</v>
      </c>
      <c r="H54" s="13" t="s">
        <v>52</v>
      </c>
      <c r="I54" s="13" t="s">
        <v>460</v>
      </c>
      <c r="J54" s="13" t="s">
        <v>7</v>
      </c>
      <c r="K54" s="17">
        <f t="shared" si="1"/>
        <v>1</v>
      </c>
      <c r="L54" s="13" t="s">
        <v>764</v>
      </c>
      <c r="M54" s="13" t="s">
        <v>26</v>
      </c>
      <c r="N54" s="13" t="s">
        <v>220</v>
      </c>
      <c r="O54" s="15">
        <f>总览!$C$5+3</f>
        <v>46218</v>
      </c>
      <c r="P54" s="15"/>
      <c r="Q54" s="12" t="s">
        <v>2515</v>
      </c>
      <c r="R54" s="12" t="s">
        <v>2516</v>
      </c>
      <c r="S54" s="12" t="s">
        <v>2517</v>
      </c>
    </row>
    <row r="55" spans="1:19" ht="34.9">
      <c r="A55" s="13" t="s">
        <v>765</v>
      </c>
      <c r="B55" s="13" t="s">
        <v>697</v>
      </c>
      <c r="C55" s="13" t="s">
        <v>766</v>
      </c>
      <c r="D55" s="13" t="s">
        <v>767</v>
      </c>
      <c r="E55" s="12" t="s">
        <v>768</v>
      </c>
      <c r="F55" s="12" t="s">
        <v>769</v>
      </c>
      <c r="G55" s="12" t="s">
        <v>770</v>
      </c>
      <c r="H55" s="13" t="s">
        <v>52</v>
      </c>
      <c r="I55" s="13" t="s">
        <v>460</v>
      </c>
      <c r="J55" s="13" t="s">
        <v>7</v>
      </c>
      <c r="K55" s="17">
        <f t="shared" si="1"/>
        <v>1</v>
      </c>
      <c r="L55" s="13" t="s">
        <v>771</v>
      </c>
      <c r="M55" s="13" t="s">
        <v>26</v>
      </c>
      <c r="N55" s="13" t="s">
        <v>220</v>
      </c>
      <c r="O55" s="15">
        <f>总览!$C$5+3</f>
        <v>46218</v>
      </c>
      <c r="P55" s="15"/>
      <c r="Q55" s="12" t="s">
        <v>2515</v>
      </c>
      <c r="R55" s="12" t="s">
        <v>2516</v>
      </c>
      <c r="S55" s="12" t="s">
        <v>2517</v>
      </c>
    </row>
    <row r="56" spans="1:19" ht="46.5">
      <c r="A56" s="13" t="s">
        <v>772</v>
      </c>
      <c r="B56" s="13" t="s">
        <v>773</v>
      </c>
      <c r="C56" s="13" t="s">
        <v>774</v>
      </c>
      <c r="D56" s="13" t="s">
        <v>775</v>
      </c>
      <c r="E56" s="12" t="s">
        <v>776</v>
      </c>
      <c r="F56" s="12" t="s">
        <v>777</v>
      </c>
      <c r="G56" s="12" t="s">
        <v>778</v>
      </c>
      <c r="H56" s="13" t="s">
        <v>52</v>
      </c>
      <c r="I56" s="13" t="s">
        <v>460</v>
      </c>
      <c r="J56" s="13" t="s">
        <v>320</v>
      </c>
      <c r="K56" s="17">
        <f t="shared" si="1"/>
        <v>0.9</v>
      </c>
      <c r="L56" s="13" t="s">
        <v>779</v>
      </c>
      <c r="M56" s="13" t="s">
        <v>24</v>
      </c>
      <c r="N56" s="13" t="s">
        <v>220</v>
      </c>
      <c r="O56" s="15">
        <f>总览!$C$5+2</f>
        <v>46217</v>
      </c>
      <c r="P56" s="15"/>
      <c r="Q56" s="12" t="s">
        <v>2518</v>
      </c>
      <c r="R56" s="12" t="s">
        <v>2519</v>
      </c>
      <c r="S56" s="12" t="s">
        <v>2520</v>
      </c>
    </row>
    <row r="57" spans="1:19" ht="46.5">
      <c r="A57" s="13" t="s">
        <v>780</v>
      </c>
      <c r="B57" s="13" t="s">
        <v>773</v>
      </c>
      <c r="C57" s="13" t="s">
        <v>781</v>
      </c>
      <c r="D57" s="13" t="s">
        <v>782</v>
      </c>
      <c r="E57" s="12" t="s">
        <v>776</v>
      </c>
      <c r="F57" s="12" t="s">
        <v>783</v>
      </c>
      <c r="G57" s="12" t="s">
        <v>784</v>
      </c>
      <c r="H57" s="13" t="s">
        <v>52</v>
      </c>
      <c r="I57" s="13" t="s">
        <v>460</v>
      </c>
      <c r="J57" s="13" t="s">
        <v>320</v>
      </c>
      <c r="K57" s="17">
        <f t="shared" si="1"/>
        <v>0.9</v>
      </c>
      <c r="L57" s="13" t="s">
        <v>779</v>
      </c>
      <c r="M57" s="13" t="s">
        <v>24</v>
      </c>
      <c r="N57" s="13" t="s">
        <v>220</v>
      </c>
      <c r="O57" s="15">
        <f>总览!$C$5+2</f>
        <v>46217</v>
      </c>
      <c r="P57" s="15"/>
      <c r="Q57" s="12" t="s">
        <v>2518</v>
      </c>
      <c r="R57" s="12" t="s">
        <v>2519</v>
      </c>
      <c r="S57" s="12" t="s">
        <v>2520</v>
      </c>
    </row>
    <row r="58" spans="1:19" ht="46.5">
      <c r="A58" s="13" t="s">
        <v>785</v>
      </c>
      <c r="B58" s="13" t="s">
        <v>773</v>
      </c>
      <c r="C58" s="13" t="s">
        <v>786</v>
      </c>
      <c r="D58" s="13" t="s">
        <v>787</v>
      </c>
      <c r="E58" s="12" t="s">
        <v>776</v>
      </c>
      <c r="F58" s="12" t="s">
        <v>788</v>
      </c>
      <c r="G58" s="12" t="s">
        <v>789</v>
      </c>
      <c r="H58" s="13" t="s">
        <v>52</v>
      </c>
      <c r="I58" s="13" t="s">
        <v>460</v>
      </c>
      <c r="J58" s="13" t="s">
        <v>320</v>
      </c>
      <c r="K58" s="17">
        <f t="shared" si="1"/>
        <v>0.9</v>
      </c>
      <c r="L58" s="13" t="s">
        <v>779</v>
      </c>
      <c r="M58" s="13" t="s">
        <v>24</v>
      </c>
      <c r="N58" s="13" t="s">
        <v>220</v>
      </c>
      <c r="O58" s="15">
        <f>总览!$C$5+2</f>
        <v>46217</v>
      </c>
      <c r="P58" s="15"/>
      <c r="Q58" s="12" t="s">
        <v>2518</v>
      </c>
      <c r="R58" s="12" t="s">
        <v>2519</v>
      </c>
      <c r="S58" s="12" t="s">
        <v>2520</v>
      </c>
    </row>
    <row r="59" spans="1:19" ht="46.5">
      <c r="A59" s="13" t="s">
        <v>790</v>
      </c>
      <c r="B59" s="13" t="s">
        <v>773</v>
      </c>
      <c r="C59" s="13" t="s">
        <v>791</v>
      </c>
      <c r="D59" s="13" t="s">
        <v>792</v>
      </c>
      <c r="E59" s="12" t="s">
        <v>776</v>
      </c>
      <c r="F59" s="12" t="s">
        <v>793</v>
      </c>
      <c r="G59" s="12" t="s">
        <v>794</v>
      </c>
      <c r="H59" s="13" t="s">
        <v>52</v>
      </c>
      <c r="I59" s="13" t="s">
        <v>460</v>
      </c>
      <c r="J59" s="13" t="s">
        <v>320</v>
      </c>
      <c r="K59" s="17">
        <f t="shared" si="1"/>
        <v>0.9</v>
      </c>
      <c r="L59" s="13" t="s">
        <v>779</v>
      </c>
      <c r="M59" s="13" t="s">
        <v>24</v>
      </c>
      <c r="N59" s="13" t="s">
        <v>220</v>
      </c>
      <c r="O59" s="15">
        <f>总览!$C$5+2</f>
        <v>46217</v>
      </c>
      <c r="P59" s="15"/>
      <c r="Q59" s="12" t="s">
        <v>2518</v>
      </c>
      <c r="R59" s="12" t="s">
        <v>2519</v>
      </c>
      <c r="S59" s="12" t="s">
        <v>2520</v>
      </c>
    </row>
    <row r="60" spans="1:19" ht="46.5">
      <c r="A60" s="13" t="s">
        <v>795</v>
      </c>
      <c r="B60" s="13" t="s">
        <v>773</v>
      </c>
      <c r="C60" s="13" t="s">
        <v>796</v>
      </c>
      <c r="D60" s="13" t="s">
        <v>797</v>
      </c>
      <c r="E60" s="12" t="s">
        <v>776</v>
      </c>
      <c r="F60" s="12" t="s">
        <v>798</v>
      </c>
      <c r="G60" s="12" t="s">
        <v>799</v>
      </c>
      <c r="H60" s="13" t="s">
        <v>52</v>
      </c>
      <c r="I60" s="13" t="s">
        <v>460</v>
      </c>
      <c r="J60" s="13" t="s">
        <v>320</v>
      </c>
      <c r="K60" s="17">
        <f t="shared" si="1"/>
        <v>0.9</v>
      </c>
      <c r="L60" s="13" t="s">
        <v>779</v>
      </c>
      <c r="M60" s="13" t="s">
        <v>24</v>
      </c>
      <c r="N60" s="13" t="s">
        <v>220</v>
      </c>
      <c r="O60" s="15">
        <f>总览!$C$5+2</f>
        <v>46217</v>
      </c>
      <c r="P60" s="15"/>
      <c r="Q60" s="12" t="s">
        <v>2518</v>
      </c>
      <c r="R60" s="12" t="s">
        <v>2519</v>
      </c>
      <c r="S60" s="12" t="s">
        <v>2520</v>
      </c>
    </row>
    <row r="61" spans="1:19" ht="46.5">
      <c r="A61" s="13" t="s">
        <v>800</v>
      </c>
      <c r="B61" s="13" t="s">
        <v>773</v>
      </c>
      <c r="C61" s="13" t="s">
        <v>801</v>
      </c>
      <c r="D61" s="13" t="s">
        <v>802</v>
      </c>
      <c r="E61" s="12" t="s">
        <v>776</v>
      </c>
      <c r="F61" s="12" t="s">
        <v>803</v>
      </c>
      <c r="G61" s="12" t="s">
        <v>804</v>
      </c>
      <c r="H61" s="13" t="s">
        <v>52</v>
      </c>
      <c r="I61" s="13" t="s">
        <v>460</v>
      </c>
      <c r="J61" s="13" t="s">
        <v>320</v>
      </c>
      <c r="K61" s="17">
        <f t="shared" si="1"/>
        <v>0.9</v>
      </c>
      <c r="L61" s="13" t="s">
        <v>779</v>
      </c>
      <c r="M61" s="13" t="s">
        <v>24</v>
      </c>
      <c r="N61" s="13" t="s">
        <v>220</v>
      </c>
      <c r="O61" s="15">
        <f>总览!$C$5+2</f>
        <v>46217</v>
      </c>
      <c r="P61" s="15"/>
      <c r="Q61" s="12" t="s">
        <v>2518</v>
      </c>
      <c r="R61" s="12" t="s">
        <v>2519</v>
      </c>
      <c r="S61" s="12" t="s">
        <v>2520</v>
      </c>
    </row>
    <row r="62" spans="1:19" ht="46.5">
      <c r="A62" s="13" t="s">
        <v>805</v>
      </c>
      <c r="B62" s="13" t="s">
        <v>773</v>
      </c>
      <c r="C62" s="13" t="s">
        <v>806</v>
      </c>
      <c r="D62" s="13" t="s">
        <v>807</v>
      </c>
      <c r="E62" s="12" t="s">
        <v>776</v>
      </c>
      <c r="F62" s="12" t="s">
        <v>808</v>
      </c>
      <c r="G62" s="12" t="s">
        <v>809</v>
      </c>
      <c r="H62" s="13" t="s">
        <v>52</v>
      </c>
      <c r="I62" s="13" t="s">
        <v>460</v>
      </c>
      <c r="J62" s="13" t="s">
        <v>320</v>
      </c>
      <c r="K62" s="17">
        <f t="shared" si="1"/>
        <v>0.9</v>
      </c>
      <c r="L62" s="13" t="s">
        <v>779</v>
      </c>
      <c r="M62" s="13" t="s">
        <v>24</v>
      </c>
      <c r="N62" s="13" t="s">
        <v>220</v>
      </c>
      <c r="O62" s="15">
        <f>总览!$C$5+2</f>
        <v>46217</v>
      </c>
      <c r="P62" s="15"/>
      <c r="Q62" s="12" t="s">
        <v>2518</v>
      </c>
      <c r="R62" s="12" t="s">
        <v>2519</v>
      </c>
      <c r="S62" s="12" t="s">
        <v>2520</v>
      </c>
    </row>
    <row r="63" spans="1:19" ht="46.5">
      <c r="A63" s="13" t="s">
        <v>810</v>
      </c>
      <c r="B63" s="13" t="s">
        <v>773</v>
      </c>
      <c r="C63" s="13" t="s">
        <v>811</v>
      </c>
      <c r="D63" s="13" t="s">
        <v>812</v>
      </c>
      <c r="E63" s="12" t="s">
        <v>776</v>
      </c>
      <c r="F63" s="12" t="s">
        <v>813</v>
      </c>
      <c r="G63" s="12" t="s">
        <v>814</v>
      </c>
      <c r="H63" s="13" t="s">
        <v>52</v>
      </c>
      <c r="I63" s="13" t="s">
        <v>460</v>
      </c>
      <c r="J63" s="13" t="s">
        <v>320</v>
      </c>
      <c r="K63" s="17">
        <f t="shared" si="1"/>
        <v>0.9</v>
      </c>
      <c r="L63" s="13" t="s">
        <v>779</v>
      </c>
      <c r="M63" s="13" t="s">
        <v>24</v>
      </c>
      <c r="N63" s="13" t="s">
        <v>220</v>
      </c>
      <c r="O63" s="15">
        <f>总览!$C$5+2</f>
        <v>46217</v>
      </c>
      <c r="P63" s="15"/>
      <c r="Q63" s="12" t="s">
        <v>2518</v>
      </c>
      <c r="R63" s="12" t="s">
        <v>2519</v>
      </c>
      <c r="S63" s="12" t="s">
        <v>2520</v>
      </c>
    </row>
    <row r="64" spans="1:19" ht="46.5">
      <c r="A64" s="13" t="s">
        <v>815</v>
      </c>
      <c r="B64" s="13" t="s">
        <v>773</v>
      </c>
      <c r="C64" s="13" t="s">
        <v>816</v>
      </c>
      <c r="D64" s="13" t="s">
        <v>817</v>
      </c>
      <c r="E64" s="12" t="s">
        <v>776</v>
      </c>
      <c r="F64" s="12" t="s">
        <v>818</v>
      </c>
      <c r="G64" s="12" t="s">
        <v>819</v>
      </c>
      <c r="H64" s="13" t="s">
        <v>52</v>
      </c>
      <c r="I64" s="13" t="s">
        <v>460</v>
      </c>
      <c r="J64" s="13" t="s">
        <v>320</v>
      </c>
      <c r="K64" s="17">
        <f t="shared" si="1"/>
        <v>0.9</v>
      </c>
      <c r="L64" s="13" t="s">
        <v>779</v>
      </c>
      <c r="M64" s="13" t="s">
        <v>24</v>
      </c>
      <c r="N64" s="13" t="s">
        <v>220</v>
      </c>
      <c r="O64" s="15">
        <f>总览!$C$5+2</f>
        <v>46217</v>
      </c>
      <c r="P64" s="15"/>
      <c r="Q64" s="12" t="s">
        <v>2518</v>
      </c>
      <c r="R64" s="12" t="s">
        <v>2519</v>
      </c>
      <c r="S64" s="12" t="s">
        <v>2520</v>
      </c>
    </row>
    <row r="65" spans="1:19" ht="46.5">
      <c r="A65" s="13" t="s">
        <v>820</v>
      </c>
      <c r="B65" s="13" t="s">
        <v>773</v>
      </c>
      <c r="C65" s="13" t="s">
        <v>821</v>
      </c>
      <c r="D65" s="13" t="s">
        <v>822</v>
      </c>
      <c r="E65" s="12" t="s">
        <v>776</v>
      </c>
      <c r="F65" s="12" t="s">
        <v>823</v>
      </c>
      <c r="G65" s="12" t="s">
        <v>824</v>
      </c>
      <c r="H65" s="13" t="s">
        <v>52</v>
      </c>
      <c r="I65" s="13" t="s">
        <v>460</v>
      </c>
      <c r="J65" s="13" t="s">
        <v>320</v>
      </c>
      <c r="K65" s="17">
        <f t="shared" si="1"/>
        <v>0.9</v>
      </c>
      <c r="L65" s="13" t="s">
        <v>779</v>
      </c>
      <c r="M65" s="13" t="s">
        <v>24</v>
      </c>
      <c r="N65" s="13" t="s">
        <v>220</v>
      </c>
      <c r="O65" s="15">
        <f>总览!$C$5+2</f>
        <v>46217</v>
      </c>
      <c r="P65" s="15"/>
      <c r="Q65" s="12" t="s">
        <v>2518</v>
      </c>
      <c r="R65" s="12" t="s">
        <v>2519</v>
      </c>
      <c r="S65" s="12" t="s">
        <v>2520</v>
      </c>
    </row>
    <row r="66" spans="1:19" ht="46.5">
      <c r="A66" s="13" t="s">
        <v>825</v>
      </c>
      <c r="B66" s="13" t="s">
        <v>773</v>
      </c>
      <c r="C66" s="13" t="s">
        <v>826</v>
      </c>
      <c r="D66" s="13" t="s">
        <v>827</v>
      </c>
      <c r="E66" s="12" t="s">
        <v>776</v>
      </c>
      <c r="F66" s="12" t="s">
        <v>828</v>
      </c>
      <c r="G66" s="12" t="s">
        <v>829</v>
      </c>
      <c r="H66" s="13" t="s">
        <v>52</v>
      </c>
      <c r="I66" s="13" t="s">
        <v>460</v>
      </c>
      <c r="J66" s="13" t="s">
        <v>320</v>
      </c>
      <c r="K66" s="17">
        <f t="shared" si="1"/>
        <v>0.9</v>
      </c>
      <c r="L66" s="13" t="s">
        <v>779</v>
      </c>
      <c r="M66" s="13" t="s">
        <v>24</v>
      </c>
      <c r="N66" s="13" t="s">
        <v>220</v>
      </c>
      <c r="O66" s="15">
        <f>总览!$C$5+2</f>
        <v>46217</v>
      </c>
      <c r="P66" s="15"/>
      <c r="Q66" s="12" t="s">
        <v>2518</v>
      </c>
      <c r="R66" s="12" t="s">
        <v>2519</v>
      </c>
      <c r="S66" s="12" t="s">
        <v>2520</v>
      </c>
    </row>
    <row r="67" spans="1:19" ht="46.5">
      <c r="A67" s="13" t="s">
        <v>830</v>
      </c>
      <c r="B67" s="13" t="s">
        <v>773</v>
      </c>
      <c r="C67" s="13" t="s">
        <v>831</v>
      </c>
      <c r="D67" s="13" t="s">
        <v>832</v>
      </c>
      <c r="E67" s="12" t="s">
        <v>776</v>
      </c>
      <c r="F67" s="12" t="s">
        <v>833</v>
      </c>
      <c r="G67" s="12" t="s">
        <v>834</v>
      </c>
      <c r="H67" s="13" t="s">
        <v>52</v>
      </c>
      <c r="I67" s="13" t="s">
        <v>460</v>
      </c>
      <c r="J67" s="13" t="s">
        <v>320</v>
      </c>
      <c r="K67" s="17">
        <f t="shared" si="1"/>
        <v>0.9</v>
      </c>
      <c r="L67" s="13" t="s">
        <v>779</v>
      </c>
      <c r="M67" s="13" t="s">
        <v>24</v>
      </c>
      <c r="N67" s="13" t="s">
        <v>220</v>
      </c>
      <c r="O67" s="15">
        <f>总览!$C$5+2</f>
        <v>46217</v>
      </c>
      <c r="P67" s="15"/>
      <c r="Q67" s="12" t="s">
        <v>2518</v>
      </c>
      <c r="R67" s="12" t="s">
        <v>2519</v>
      </c>
      <c r="S67" s="12" t="s">
        <v>2520</v>
      </c>
    </row>
    <row r="68" spans="1:19" ht="46.5">
      <c r="A68" s="13" t="s">
        <v>835</v>
      </c>
      <c r="B68" s="13" t="s">
        <v>773</v>
      </c>
      <c r="C68" s="13" t="s">
        <v>836</v>
      </c>
      <c r="D68" s="13" t="s">
        <v>837</v>
      </c>
      <c r="E68" s="12" t="s">
        <v>776</v>
      </c>
      <c r="F68" s="12" t="s">
        <v>838</v>
      </c>
      <c r="G68" s="12" t="s">
        <v>839</v>
      </c>
      <c r="H68" s="13" t="s">
        <v>52</v>
      </c>
      <c r="I68" s="13" t="s">
        <v>460</v>
      </c>
      <c r="J68" s="13" t="s">
        <v>320</v>
      </c>
      <c r="K68" s="17">
        <f t="shared" si="1"/>
        <v>0.9</v>
      </c>
      <c r="L68" s="13" t="s">
        <v>779</v>
      </c>
      <c r="M68" s="13" t="s">
        <v>24</v>
      </c>
      <c r="N68" s="13" t="s">
        <v>220</v>
      </c>
      <c r="O68" s="15">
        <f>总览!$C$5+2</f>
        <v>46217</v>
      </c>
      <c r="P68" s="15"/>
      <c r="Q68" s="12" t="s">
        <v>2518</v>
      </c>
      <c r="R68" s="12" t="s">
        <v>2519</v>
      </c>
      <c r="S68" s="12" t="s">
        <v>2520</v>
      </c>
    </row>
    <row r="69" spans="1:19" ht="46.5">
      <c r="A69" s="13" t="s">
        <v>840</v>
      </c>
      <c r="B69" s="13" t="s">
        <v>773</v>
      </c>
      <c r="C69" s="13" t="s">
        <v>841</v>
      </c>
      <c r="D69" s="13" t="s">
        <v>842</v>
      </c>
      <c r="E69" s="12" t="s">
        <v>776</v>
      </c>
      <c r="F69" s="12" t="s">
        <v>843</v>
      </c>
      <c r="G69" s="12" t="s">
        <v>844</v>
      </c>
      <c r="H69" s="13" t="s">
        <v>52</v>
      </c>
      <c r="I69" s="13" t="s">
        <v>460</v>
      </c>
      <c r="J69" s="13" t="s">
        <v>320</v>
      </c>
      <c r="K69" s="17">
        <f t="shared" ref="K69:K100" si="2">IF(J69="不适用","",IF(J69="已完成",1,IF(J69="待审核",0.9,IF(J69="进行中",0.5,IF(J69="已阻塞",0.25,0)))))</f>
        <v>0.9</v>
      </c>
      <c r="L69" s="13" t="s">
        <v>779</v>
      </c>
      <c r="M69" s="13" t="s">
        <v>24</v>
      </c>
      <c r="N69" s="13" t="s">
        <v>220</v>
      </c>
      <c r="O69" s="15">
        <f>总览!$C$5+2</f>
        <v>46217</v>
      </c>
      <c r="P69" s="15"/>
      <c r="Q69" s="12" t="s">
        <v>2518</v>
      </c>
      <c r="R69" s="12" t="s">
        <v>2519</v>
      </c>
      <c r="S69" s="12" t="s">
        <v>2520</v>
      </c>
    </row>
    <row r="70" spans="1:19" ht="46.5">
      <c r="A70" s="13" t="s">
        <v>845</v>
      </c>
      <c r="B70" s="13" t="s">
        <v>773</v>
      </c>
      <c r="C70" s="13" t="s">
        <v>846</v>
      </c>
      <c r="D70" s="13" t="s">
        <v>847</v>
      </c>
      <c r="E70" s="12" t="s">
        <v>776</v>
      </c>
      <c r="F70" s="12" t="s">
        <v>848</v>
      </c>
      <c r="G70" s="12" t="s">
        <v>849</v>
      </c>
      <c r="H70" s="13" t="s">
        <v>52</v>
      </c>
      <c r="I70" s="13" t="s">
        <v>460</v>
      </c>
      <c r="J70" s="13" t="s">
        <v>320</v>
      </c>
      <c r="K70" s="17">
        <f t="shared" si="2"/>
        <v>0.9</v>
      </c>
      <c r="L70" s="13" t="s">
        <v>779</v>
      </c>
      <c r="M70" s="13" t="s">
        <v>24</v>
      </c>
      <c r="N70" s="13" t="s">
        <v>220</v>
      </c>
      <c r="O70" s="15">
        <f>总览!$C$5+2</f>
        <v>46217</v>
      </c>
      <c r="P70" s="15"/>
      <c r="Q70" s="12" t="s">
        <v>2518</v>
      </c>
      <c r="R70" s="12" t="s">
        <v>2519</v>
      </c>
      <c r="S70" s="12" t="s">
        <v>2520</v>
      </c>
    </row>
    <row r="71" spans="1:19" ht="23.25">
      <c r="A71" s="13" t="s">
        <v>850</v>
      </c>
      <c r="B71" s="13" t="s">
        <v>773</v>
      </c>
      <c r="C71" s="13" t="s">
        <v>851</v>
      </c>
      <c r="D71" s="13" t="s">
        <v>852</v>
      </c>
      <c r="E71" s="12" t="s">
        <v>776</v>
      </c>
      <c r="F71" s="12" t="s">
        <v>853</v>
      </c>
      <c r="G71" s="12" t="s">
        <v>854</v>
      </c>
      <c r="H71" s="13" t="s">
        <v>52</v>
      </c>
      <c r="I71" s="13" t="s">
        <v>460</v>
      </c>
      <c r="J71" s="13" t="s">
        <v>7</v>
      </c>
      <c r="K71" s="17">
        <f t="shared" si="2"/>
        <v>1</v>
      </c>
      <c r="L71" s="13" t="s">
        <v>779</v>
      </c>
      <c r="M71" s="13" t="s">
        <v>24</v>
      </c>
      <c r="N71" s="13" t="s">
        <v>220</v>
      </c>
      <c r="O71" s="15">
        <f>总览!$C$5+2</f>
        <v>46217</v>
      </c>
      <c r="P71" s="15"/>
      <c r="Q71" s="12" t="s">
        <v>2521</v>
      </c>
      <c r="R71" s="12" t="s">
        <v>2522</v>
      </c>
      <c r="S71" s="12" t="s">
        <v>2523</v>
      </c>
    </row>
    <row r="72" spans="1:19" ht="23.25">
      <c r="A72" s="13" t="s">
        <v>855</v>
      </c>
      <c r="B72" s="13" t="s">
        <v>773</v>
      </c>
      <c r="C72" s="13" t="s">
        <v>856</v>
      </c>
      <c r="D72" s="13" t="s">
        <v>857</v>
      </c>
      <c r="E72" s="12" t="s">
        <v>776</v>
      </c>
      <c r="F72" s="12" t="s">
        <v>858</v>
      </c>
      <c r="G72" s="12" t="s">
        <v>859</v>
      </c>
      <c r="H72" s="13" t="s">
        <v>52</v>
      </c>
      <c r="I72" s="13" t="s">
        <v>460</v>
      </c>
      <c r="J72" s="13" t="s">
        <v>107</v>
      </c>
      <c r="K72" s="17">
        <f t="shared" si="2"/>
        <v>0.5</v>
      </c>
      <c r="L72" s="13" t="s">
        <v>779</v>
      </c>
      <c r="M72" s="13" t="s">
        <v>24</v>
      </c>
      <c r="N72" s="13" t="s">
        <v>220</v>
      </c>
      <c r="O72" s="15">
        <f>总览!$C$5+2</f>
        <v>46217</v>
      </c>
      <c r="P72" s="15"/>
      <c r="Q72" s="12" t="s">
        <v>2524</v>
      </c>
      <c r="R72" s="12" t="s">
        <v>2525</v>
      </c>
      <c r="S72" s="12" t="s">
        <v>2526</v>
      </c>
    </row>
    <row r="73" spans="1:19" ht="46.5">
      <c r="A73" s="13" t="s">
        <v>860</v>
      </c>
      <c r="B73" s="13" t="s">
        <v>861</v>
      </c>
      <c r="C73" s="13" t="s">
        <v>862</v>
      </c>
      <c r="D73" s="13" t="s">
        <v>863</v>
      </c>
      <c r="E73" s="12" t="s">
        <v>864</v>
      </c>
      <c r="F73" s="12" t="s">
        <v>865</v>
      </c>
      <c r="G73" s="12" t="s">
        <v>866</v>
      </c>
      <c r="H73" s="13" t="s">
        <v>52</v>
      </c>
      <c r="I73" s="13" t="s">
        <v>460</v>
      </c>
      <c r="J73" s="13" t="s">
        <v>7</v>
      </c>
      <c r="K73" s="17">
        <f t="shared" si="2"/>
        <v>1</v>
      </c>
      <c r="L73" s="13" t="s">
        <v>867</v>
      </c>
      <c r="M73" s="13" t="s">
        <v>24</v>
      </c>
      <c r="N73" s="13" t="s">
        <v>220</v>
      </c>
      <c r="O73" s="15">
        <f>总览!$C$5+2</f>
        <v>46217</v>
      </c>
      <c r="P73" s="15"/>
      <c r="Q73" s="12" t="s">
        <v>2527</v>
      </c>
      <c r="R73" s="12" t="s">
        <v>2528</v>
      </c>
      <c r="S73" s="12" t="s">
        <v>2529</v>
      </c>
    </row>
    <row r="74" spans="1:19" ht="46.5">
      <c r="A74" s="13" t="s">
        <v>868</v>
      </c>
      <c r="B74" s="13" t="s">
        <v>861</v>
      </c>
      <c r="C74" s="13" t="s">
        <v>869</v>
      </c>
      <c r="D74" s="13" t="s">
        <v>870</v>
      </c>
      <c r="E74" s="12" t="s">
        <v>864</v>
      </c>
      <c r="F74" s="12" t="s">
        <v>871</v>
      </c>
      <c r="G74" s="12" t="s">
        <v>872</v>
      </c>
      <c r="H74" s="13" t="s">
        <v>52</v>
      </c>
      <c r="I74" s="13" t="s">
        <v>460</v>
      </c>
      <c r="J74" s="13" t="s">
        <v>7</v>
      </c>
      <c r="K74" s="17">
        <f t="shared" si="2"/>
        <v>1</v>
      </c>
      <c r="L74" s="13" t="s">
        <v>867</v>
      </c>
      <c r="M74" s="13" t="s">
        <v>24</v>
      </c>
      <c r="N74" s="13" t="s">
        <v>220</v>
      </c>
      <c r="O74" s="15">
        <f>总览!$C$5+2</f>
        <v>46217</v>
      </c>
      <c r="P74" s="15"/>
      <c r="Q74" s="12" t="s">
        <v>2527</v>
      </c>
      <c r="R74" s="12" t="s">
        <v>2528</v>
      </c>
      <c r="S74" s="12" t="s">
        <v>2529</v>
      </c>
    </row>
    <row r="75" spans="1:19" ht="46.5">
      <c r="A75" s="13" t="s">
        <v>873</v>
      </c>
      <c r="B75" s="13" t="s">
        <v>861</v>
      </c>
      <c r="C75" s="13" t="s">
        <v>874</v>
      </c>
      <c r="D75" s="13" t="s">
        <v>875</v>
      </c>
      <c r="E75" s="12" t="s">
        <v>864</v>
      </c>
      <c r="F75" s="12" t="s">
        <v>876</v>
      </c>
      <c r="G75" s="12" t="s">
        <v>738</v>
      </c>
      <c r="H75" s="13" t="s">
        <v>52</v>
      </c>
      <c r="I75" s="13" t="s">
        <v>460</v>
      </c>
      <c r="J75" s="13" t="s">
        <v>7</v>
      </c>
      <c r="K75" s="17">
        <f t="shared" si="2"/>
        <v>1</v>
      </c>
      <c r="L75" s="13" t="s">
        <v>867</v>
      </c>
      <c r="M75" s="13" t="s">
        <v>24</v>
      </c>
      <c r="N75" s="13" t="s">
        <v>220</v>
      </c>
      <c r="O75" s="15">
        <f>总览!$C$5+2</f>
        <v>46217</v>
      </c>
      <c r="P75" s="15"/>
      <c r="Q75" s="12" t="s">
        <v>2527</v>
      </c>
      <c r="R75" s="12" t="s">
        <v>2528</v>
      </c>
      <c r="S75" s="12" t="s">
        <v>2529</v>
      </c>
    </row>
    <row r="76" spans="1:19" ht="46.5">
      <c r="A76" s="13" t="s">
        <v>877</v>
      </c>
      <c r="B76" s="13" t="s">
        <v>861</v>
      </c>
      <c r="C76" s="13" t="s">
        <v>878</v>
      </c>
      <c r="D76" s="13" t="s">
        <v>879</v>
      </c>
      <c r="E76" s="12" t="s">
        <v>864</v>
      </c>
      <c r="F76" s="12" t="s">
        <v>880</v>
      </c>
      <c r="G76" s="12" t="s">
        <v>881</v>
      </c>
      <c r="H76" s="13" t="s">
        <v>52</v>
      </c>
      <c r="I76" s="13" t="s">
        <v>460</v>
      </c>
      <c r="J76" s="13" t="s">
        <v>7</v>
      </c>
      <c r="K76" s="17">
        <f t="shared" si="2"/>
        <v>1</v>
      </c>
      <c r="L76" s="13" t="s">
        <v>867</v>
      </c>
      <c r="M76" s="13" t="s">
        <v>24</v>
      </c>
      <c r="N76" s="13" t="s">
        <v>220</v>
      </c>
      <c r="O76" s="15">
        <f>总览!$C$5+2</f>
        <v>46217</v>
      </c>
      <c r="P76" s="15"/>
      <c r="Q76" s="12" t="s">
        <v>2527</v>
      </c>
      <c r="R76" s="12" t="s">
        <v>2528</v>
      </c>
      <c r="S76" s="12" t="s">
        <v>2529</v>
      </c>
    </row>
    <row r="77" spans="1:19" ht="46.5">
      <c r="A77" s="13" t="s">
        <v>882</v>
      </c>
      <c r="B77" s="13" t="s">
        <v>861</v>
      </c>
      <c r="C77" s="13" t="s">
        <v>883</v>
      </c>
      <c r="D77" s="13" t="s">
        <v>884</v>
      </c>
      <c r="E77" s="12" t="s">
        <v>864</v>
      </c>
      <c r="F77" s="12" t="s">
        <v>885</v>
      </c>
      <c r="G77" s="12" t="s">
        <v>886</v>
      </c>
      <c r="H77" s="13" t="s">
        <v>52</v>
      </c>
      <c r="I77" s="13" t="s">
        <v>460</v>
      </c>
      <c r="J77" s="13" t="s">
        <v>7</v>
      </c>
      <c r="K77" s="17">
        <f t="shared" si="2"/>
        <v>1</v>
      </c>
      <c r="L77" s="13" t="s">
        <v>867</v>
      </c>
      <c r="M77" s="13" t="s">
        <v>24</v>
      </c>
      <c r="N77" s="13" t="s">
        <v>220</v>
      </c>
      <c r="O77" s="15">
        <f>总览!$C$5+2</f>
        <v>46217</v>
      </c>
      <c r="P77" s="15"/>
      <c r="Q77" s="12" t="s">
        <v>2527</v>
      </c>
      <c r="R77" s="12" t="s">
        <v>2528</v>
      </c>
      <c r="S77" s="12" t="s">
        <v>2529</v>
      </c>
    </row>
    <row r="78" spans="1:19" ht="46.5">
      <c r="A78" s="13" t="s">
        <v>887</v>
      </c>
      <c r="B78" s="13" t="s">
        <v>861</v>
      </c>
      <c r="C78" s="13" t="s">
        <v>888</v>
      </c>
      <c r="D78" s="13" t="s">
        <v>889</v>
      </c>
      <c r="E78" s="12" t="s">
        <v>864</v>
      </c>
      <c r="F78" s="12" t="s">
        <v>890</v>
      </c>
      <c r="G78" s="12" t="s">
        <v>891</v>
      </c>
      <c r="H78" s="13" t="s">
        <v>52</v>
      </c>
      <c r="I78" s="13" t="s">
        <v>460</v>
      </c>
      <c r="J78" s="13" t="s">
        <v>7</v>
      </c>
      <c r="K78" s="17">
        <f t="shared" si="2"/>
        <v>1</v>
      </c>
      <c r="L78" s="13" t="s">
        <v>867</v>
      </c>
      <c r="M78" s="13" t="s">
        <v>24</v>
      </c>
      <c r="N78" s="13" t="s">
        <v>220</v>
      </c>
      <c r="O78" s="15">
        <f>总览!$C$5+2</f>
        <v>46217</v>
      </c>
      <c r="P78" s="15"/>
      <c r="Q78" s="12" t="s">
        <v>2527</v>
      </c>
      <c r="R78" s="12" t="s">
        <v>2528</v>
      </c>
      <c r="S78" s="12" t="s">
        <v>2529</v>
      </c>
    </row>
    <row r="79" spans="1:19" ht="46.5">
      <c r="A79" s="13" t="s">
        <v>892</v>
      </c>
      <c r="B79" s="13" t="s">
        <v>861</v>
      </c>
      <c r="C79" s="13" t="s">
        <v>893</v>
      </c>
      <c r="D79" s="13" t="s">
        <v>894</v>
      </c>
      <c r="E79" s="12" t="s">
        <v>864</v>
      </c>
      <c r="F79" s="12" t="s">
        <v>895</v>
      </c>
      <c r="G79" s="12" t="s">
        <v>896</v>
      </c>
      <c r="H79" s="13" t="s">
        <v>52</v>
      </c>
      <c r="I79" s="13" t="s">
        <v>460</v>
      </c>
      <c r="J79" s="13" t="s">
        <v>7</v>
      </c>
      <c r="K79" s="17">
        <f t="shared" si="2"/>
        <v>1</v>
      </c>
      <c r="L79" s="13" t="s">
        <v>867</v>
      </c>
      <c r="M79" s="13" t="s">
        <v>24</v>
      </c>
      <c r="N79" s="13" t="s">
        <v>220</v>
      </c>
      <c r="O79" s="15">
        <f>总览!$C$5+2</f>
        <v>46217</v>
      </c>
      <c r="P79" s="15"/>
      <c r="Q79" s="12" t="s">
        <v>2527</v>
      </c>
      <c r="R79" s="12" t="s">
        <v>2528</v>
      </c>
      <c r="S79" s="12" t="s">
        <v>2529</v>
      </c>
    </row>
    <row r="80" spans="1:19" ht="46.5">
      <c r="A80" s="13" t="s">
        <v>897</v>
      </c>
      <c r="B80" s="13" t="s">
        <v>861</v>
      </c>
      <c r="C80" s="13" t="s">
        <v>898</v>
      </c>
      <c r="D80" s="13" t="s">
        <v>899</v>
      </c>
      <c r="E80" s="12" t="s">
        <v>864</v>
      </c>
      <c r="F80" s="12" t="s">
        <v>900</v>
      </c>
      <c r="G80" s="12" t="s">
        <v>901</v>
      </c>
      <c r="H80" s="13" t="s">
        <v>52</v>
      </c>
      <c r="I80" s="13" t="s">
        <v>460</v>
      </c>
      <c r="J80" s="13" t="s">
        <v>7</v>
      </c>
      <c r="K80" s="17">
        <f t="shared" si="2"/>
        <v>1</v>
      </c>
      <c r="L80" s="13" t="s">
        <v>867</v>
      </c>
      <c r="M80" s="13" t="s">
        <v>24</v>
      </c>
      <c r="N80" s="13" t="s">
        <v>220</v>
      </c>
      <c r="O80" s="15">
        <f>总览!$C$5+2</f>
        <v>46217</v>
      </c>
      <c r="P80" s="15"/>
      <c r="Q80" s="12" t="s">
        <v>2527</v>
      </c>
      <c r="R80" s="12" t="s">
        <v>2528</v>
      </c>
      <c r="S80" s="12" t="s">
        <v>2529</v>
      </c>
    </row>
    <row r="81" spans="1:19" ht="46.5">
      <c r="A81" s="13" t="s">
        <v>902</v>
      </c>
      <c r="B81" s="13" t="s">
        <v>861</v>
      </c>
      <c r="C81" s="13" t="s">
        <v>903</v>
      </c>
      <c r="D81" s="13" t="s">
        <v>904</v>
      </c>
      <c r="E81" s="12" t="s">
        <v>864</v>
      </c>
      <c r="F81" s="12" t="s">
        <v>905</v>
      </c>
      <c r="G81" s="12" t="s">
        <v>906</v>
      </c>
      <c r="H81" s="13" t="s">
        <v>52</v>
      </c>
      <c r="I81" s="13" t="s">
        <v>460</v>
      </c>
      <c r="J81" s="13" t="s">
        <v>7</v>
      </c>
      <c r="K81" s="17">
        <f t="shared" si="2"/>
        <v>1</v>
      </c>
      <c r="L81" s="13" t="s">
        <v>867</v>
      </c>
      <c r="M81" s="13" t="s">
        <v>24</v>
      </c>
      <c r="N81" s="13" t="s">
        <v>220</v>
      </c>
      <c r="O81" s="15">
        <f>总览!$C$5+2</f>
        <v>46217</v>
      </c>
      <c r="P81" s="15"/>
      <c r="Q81" s="12" t="s">
        <v>2527</v>
      </c>
      <c r="R81" s="12" t="s">
        <v>2528</v>
      </c>
      <c r="S81" s="12" t="s">
        <v>2529</v>
      </c>
    </row>
    <row r="82" spans="1:19" ht="46.5">
      <c r="A82" s="13" t="s">
        <v>907</v>
      </c>
      <c r="B82" s="13" t="s">
        <v>861</v>
      </c>
      <c r="C82" s="13" t="s">
        <v>908</v>
      </c>
      <c r="D82" s="13" t="s">
        <v>909</v>
      </c>
      <c r="E82" s="12" t="s">
        <v>864</v>
      </c>
      <c r="F82" s="12" t="s">
        <v>910</v>
      </c>
      <c r="G82" s="12" t="s">
        <v>911</v>
      </c>
      <c r="H82" s="13" t="s">
        <v>52</v>
      </c>
      <c r="I82" s="13" t="s">
        <v>460</v>
      </c>
      <c r="J82" s="13" t="s">
        <v>7</v>
      </c>
      <c r="K82" s="17">
        <f t="shared" si="2"/>
        <v>1</v>
      </c>
      <c r="L82" s="13" t="s">
        <v>867</v>
      </c>
      <c r="M82" s="13" t="s">
        <v>24</v>
      </c>
      <c r="N82" s="13" t="s">
        <v>220</v>
      </c>
      <c r="O82" s="15">
        <f>总览!$C$5+2</f>
        <v>46217</v>
      </c>
      <c r="P82" s="15"/>
      <c r="Q82" s="12" t="s">
        <v>2527</v>
      </c>
      <c r="R82" s="12" t="s">
        <v>2528</v>
      </c>
      <c r="S82" s="12" t="s">
        <v>2529</v>
      </c>
    </row>
    <row r="83" spans="1:19" ht="46.5">
      <c r="A83" s="13" t="s">
        <v>912</v>
      </c>
      <c r="B83" s="13" t="s">
        <v>861</v>
      </c>
      <c r="C83" s="13" t="s">
        <v>913</v>
      </c>
      <c r="D83" s="13" t="s">
        <v>914</v>
      </c>
      <c r="E83" s="12" t="s">
        <v>864</v>
      </c>
      <c r="F83" s="12" t="s">
        <v>915</v>
      </c>
      <c r="G83" s="12" t="s">
        <v>916</v>
      </c>
      <c r="H83" s="13" t="s">
        <v>52</v>
      </c>
      <c r="I83" s="13" t="s">
        <v>460</v>
      </c>
      <c r="J83" s="13" t="s">
        <v>7</v>
      </c>
      <c r="K83" s="17">
        <f t="shared" si="2"/>
        <v>1</v>
      </c>
      <c r="L83" s="13" t="s">
        <v>867</v>
      </c>
      <c r="M83" s="13" t="s">
        <v>24</v>
      </c>
      <c r="N83" s="13" t="s">
        <v>220</v>
      </c>
      <c r="O83" s="15">
        <f>总览!$C$5+2</f>
        <v>46217</v>
      </c>
      <c r="P83" s="15"/>
      <c r="Q83" s="12" t="s">
        <v>2527</v>
      </c>
      <c r="R83" s="12" t="s">
        <v>2528</v>
      </c>
      <c r="S83" s="12" t="s">
        <v>2529</v>
      </c>
    </row>
    <row r="84" spans="1:19" ht="46.5">
      <c r="A84" s="13" t="s">
        <v>917</v>
      </c>
      <c r="B84" s="13" t="s">
        <v>861</v>
      </c>
      <c r="C84" s="13" t="s">
        <v>918</v>
      </c>
      <c r="D84" s="13" t="s">
        <v>919</v>
      </c>
      <c r="E84" s="12" t="s">
        <v>864</v>
      </c>
      <c r="F84" s="12" t="s">
        <v>920</v>
      </c>
      <c r="G84" s="12" t="s">
        <v>921</v>
      </c>
      <c r="H84" s="13" t="s">
        <v>52</v>
      </c>
      <c r="I84" s="13" t="s">
        <v>460</v>
      </c>
      <c r="J84" s="13" t="s">
        <v>7</v>
      </c>
      <c r="K84" s="17">
        <f t="shared" si="2"/>
        <v>1</v>
      </c>
      <c r="L84" s="13" t="s">
        <v>867</v>
      </c>
      <c r="M84" s="13" t="s">
        <v>24</v>
      </c>
      <c r="N84" s="13" t="s">
        <v>220</v>
      </c>
      <c r="O84" s="15">
        <f>总览!$C$5+2</f>
        <v>46217</v>
      </c>
      <c r="P84" s="15"/>
      <c r="Q84" s="12" t="s">
        <v>2527</v>
      </c>
      <c r="R84" s="12" t="s">
        <v>2528</v>
      </c>
      <c r="S84" s="12" t="s">
        <v>2529</v>
      </c>
    </row>
    <row r="85" spans="1:19" ht="46.5">
      <c r="A85" s="13" t="s">
        <v>922</v>
      </c>
      <c r="B85" s="13" t="s">
        <v>416</v>
      </c>
      <c r="C85" s="13" t="s">
        <v>923</v>
      </c>
      <c r="D85" s="13" t="s">
        <v>924</v>
      </c>
      <c r="E85" s="12" t="s">
        <v>925</v>
      </c>
      <c r="F85" s="12" t="s">
        <v>926</v>
      </c>
      <c r="G85" s="12" t="s">
        <v>927</v>
      </c>
      <c r="H85" s="13" t="s">
        <v>52</v>
      </c>
      <c r="I85" s="13" t="s">
        <v>460</v>
      </c>
      <c r="J85" s="13" t="s">
        <v>7</v>
      </c>
      <c r="K85" s="17">
        <f t="shared" si="2"/>
        <v>1</v>
      </c>
      <c r="L85" s="13" t="s">
        <v>928</v>
      </c>
      <c r="M85" s="13" t="s">
        <v>26</v>
      </c>
      <c r="N85" s="13" t="s">
        <v>220</v>
      </c>
      <c r="O85" s="15">
        <f>总览!$C$5+3</f>
        <v>46218</v>
      </c>
      <c r="P85" s="15"/>
      <c r="Q85" s="12" t="s">
        <v>2527</v>
      </c>
      <c r="R85" s="12" t="s">
        <v>2528</v>
      </c>
      <c r="S85" s="12" t="s">
        <v>2529</v>
      </c>
    </row>
    <row r="86" spans="1:19" ht="46.5">
      <c r="A86" s="13" t="s">
        <v>929</v>
      </c>
      <c r="B86" s="13" t="s">
        <v>416</v>
      </c>
      <c r="C86" s="13" t="s">
        <v>930</v>
      </c>
      <c r="D86" s="13" t="s">
        <v>931</v>
      </c>
      <c r="E86" s="12" t="s">
        <v>925</v>
      </c>
      <c r="F86" s="12" t="s">
        <v>932</v>
      </c>
      <c r="G86" s="12" t="s">
        <v>933</v>
      </c>
      <c r="H86" s="13" t="s">
        <v>52</v>
      </c>
      <c r="I86" s="13" t="s">
        <v>460</v>
      </c>
      <c r="J86" s="13" t="s">
        <v>7</v>
      </c>
      <c r="K86" s="17">
        <f t="shared" si="2"/>
        <v>1</v>
      </c>
      <c r="L86" s="13" t="s">
        <v>928</v>
      </c>
      <c r="M86" s="13" t="s">
        <v>26</v>
      </c>
      <c r="N86" s="13" t="s">
        <v>220</v>
      </c>
      <c r="O86" s="15">
        <f>总览!$C$5+3</f>
        <v>46218</v>
      </c>
      <c r="P86" s="15"/>
      <c r="Q86" s="12" t="s">
        <v>2527</v>
      </c>
      <c r="R86" s="12" t="s">
        <v>2528</v>
      </c>
      <c r="S86" s="12" t="s">
        <v>2529</v>
      </c>
    </row>
    <row r="87" spans="1:19" ht="46.5">
      <c r="A87" s="13" t="s">
        <v>934</v>
      </c>
      <c r="B87" s="13" t="s">
        <v>416</v>
      </c>
      <c r="C87" s="13" t="s">
        <v>935</v>
      </c>
      <c r="D87" s="13" t="s">
        <v>936</v>
      </c>
      <c r="E87" s="12" t="s">
        <v>925</v>
      </c>
      <c r="F87" s="12" t="s">
        <v>937</v>
      </c>
      <c r="G87" s="12" t="s">
        <v>938</v>
      </c>
      <c r="H87" s="13" t="s">
        <v>52</v>
      </c>
      <c r="I87" s="13" t="s">
        <v>460</v>
      </c>
      <c r="J87" s="13" t="s">
        <v>7</v>
      </c>
      <c r="K87" s="17">
        <f t="shared" si="2"/>
        <v>1</v>
      </c>
      <c r="L87" s="13" t="s">
        <v>928</v>
      </c>
      <c r="M87" s="13" t="s">
        <v>26</v>
      </c>
      <c r="N87" s="13" t="s">
        <v>220</v>
      </c>
      <c r="O87" s="15">
        <f>总览!$C$5+3</f>
        <v>46218</v>
      </c>
      <c r="P87" s="15"/>
      <c r="Q87" s="12" t="s">
        <v>2527</v>
      </c>
      <c r="R87" s="12" t="s">
        <v>2528</v>
      </c>
      <c r="S87" s="12" t="s">
        <v>2529</v>
      </c>
    </row>
    <row r="88" spans="1:19" ht="46.5">
      <c r="A88" s="13" t="s">
        <v>939</v>
      </c>
      <c r="B88" s="13" t="s">
        <v>416</v>
      </c>
      <c r="C88" s="13" t="s">
        <v>940</v>
      </c>
      <c r="D88" s="13" t="s">
        <v>941</v>
      </c>
      <c r="E88" s="12" t="s">
        <v>925</v>
      </c>
      <c r="F88" s="12" t="s">
        <v>942</v>
      </c>
      <c r="G88" s="12" t="s">
        <v>943</v>
      </c>
      <c r="H88" s="13" t="s">
        <v>52</v>
      </c>
      <c r="I88" s="13" t="s">
        <v>460</v>
      </c>
      <c r="J88" s="13" t="s">
        <v>7</v>
      </c>
      <c r="K88" s="17">
        <f t="shared" si="2"/>
        <v>1</v>
      </c>
      <c r="L88" s="13" t="s">
        <v>928</v>
      </c>
      <c r="M88" s="13" t="s">
        <v>26</v>
      </c>
      <c r="N88" s="13" t="s">
        <v>220</v>
      </c>
      <c r="O88" s="15">
        <f>总览!$C$5+3</f>
        <v>46218</v>
      </c>
      <c r="P88" s="15"/>
      <c r="Q88" s="12" t="s">
        <v>2527</v>
      </c>
      <c r="R88" s="12" t="s">
        <v>2528</v>
      </c>
      <c r="S88" s="12" t="s">
        <v>2529</v>
      </c>
    </row>
    <row r="89" spans="1:19" ht="46.5">
      <c r="A89" s="13" t="s">
        <v>944</v>
      </c>
      <c r="B89" s="13" t="s">
        <v>416</v>
      </c>
      <c r="C89" s="13" t="s">
        <v>945</v>
      </c>
      <c r="D89" s="13" t="s">
        <v>946</v>
      </c>
      <c r="E89" s="12" t="s">
        <v>925</v>
      </c>
      <c r="F89" s="12" t="s">
        <v>947</v>
      </c>
      <c r="G89" s="12" t="s">
        <v>748</v>
      </c>
      <c r="H89" s="13" t="s">
        <v>52</v>
      </c>
      <c r="I89" s="13" t="s">
        <v>460</v>
      </c>
      <c r="J89" s="13" t="s">
        <v>7</v>
      </c>
      <c r="K89" s="17">
        <f t="shared" si="2"/>
        <v>1</v>
      </c>
      <c r="L89" s="13" t="s">
        <v>928</v>
      </c>
      <c r="M89" s="13" t="s">
        <v>26</v>
      </c>
      <c r="N89" s="13" t="s">
        <v>220</v>
      </c>
      <c r="O89" s="15">
        <f>总览!$C$5+3</f>
        <v>46218</v>
      </c>
      <c r="P89" s="15"/>
      <c r="Q89" s="12" t="s">
        <v>2527</v>
      </c>
      <c r="R89" s="12" t="s">
        <v>2528</v>
      </c>
      <c r="S89" s="12" t="s">
        <v>2529</v>
      </c>
    </row>
    <row r="90" spans="1:19" ht="46.5">
      <c r="A90" s="13" t="s">
        <v>948</v>
      </c>
      <c r="B90" s="13" t="s">
        <v>416</v>
      </c>
      <c r="C90" s="13" t="s">
        <v>949</v>
      </c>
      <c r="D90" s="13" t="s">
        <v>950</v>
      </c>
      <c r="E90" s="12" t="s">
        <v>925</v>
      </c>
      <c r="F90" s="12" t="s">
        <v>951</v>
      </c>
      <c r="G90" s="12" t="s">
        <v>952</v>
      </c>
      <c r="H90" s="13" t="s">
        <v>52</v>
      </c>
      <c r="I90" s="13" t="s">
        <v>460</v>
      </c>
      <c r="J90" s="13" t="s">
        <v>7</v>
      </c>
      <c r="K90" s="17">
        <f t="shared" si="2"/>
        <v>1</v>
      </c>
      <c r="L90" s="13" t="s">
        <v>928</v>
      </c>
      <c r="M90" s="13" t="s">
        <v>26</v>
      </c>
      <c r="N90" s="13" t="s">
        <v>220</v>
      </c>
      <c r="O90" s="15">
        <f>总览!$C$5+3</f>
        <v>46218</v>
      </c>
      <c r="P90" s="15"/>
      <c r="Q90" s="12" t="s">
        <v>2527</v>
      </c>
      <c r="R90" s="12" t="s">
        <v>2528</v>
      </c>
      <c r="S90" s="12" t="s">
        <v>2529</v>
      </c>
    </row>
    <row r="91" spans="1:19" ht="46.5">
      <c r="A91" s="13" t="s">
        <v>953</v>
      </c>
      <c r="B91" s="13" t="s">
        <v>416</v>
      </c>
      <c r="C91" s="13" t="s">
        <v>954</v>
      </c>
      <c r="D91" s="13" t="s">
        <v>955</v>
      </c>
      <c r="E91" s="12" t="s">
        <v>925</v>
      </c>
      <c r="F91" s="12" t="s">
        <v>956</v>
      </c>
      <c r="G91" s="12" t="s">
        <v>957</v>
      </c>
      <c r="H91" s="13" t="s">
        <v>52</v>
      </c>
      <c r="I91" s="13" t="s">
        <v>460</v>
      </c>
      <c r="J91" s="13" t="s">
        <v>7</v>
      </c>
      <c r="K91" s="17">
        <f t="shared" si="2"/>
        <v>1</v>
      </c>
      <c r="L91" s="13" t="s">
        <v>928</v>
      </c>
      <c r="M91" s="13" t="s">
        <v>26</v>
      </c>
      <c r="N91" s="13" t="s">
        <v>220</v>
      </c>
      <c r="O91" s="15">
        <f>总览!$C$5+3</f>
        <v>46218</v>
      </c>
      <c r="P91" s="15"/>
      <c r="Q91" s="12" t="s">
        <v>2527</v>
      </c>
      <c r="R91" s="12" t="s">
        <v>2528</v>
      </c>
      <c r="S91" s="12" t="s">
        <v>2529</v>
      </c>
    </row>
    <row r="92" spans="1:19" ht="46.5">
      <c r="A92" s="13" t="s">
        <v>958</v>
      </c>
      <c r="B92" s="13" t="s">
        <v>416</v>
      </c>
      <c r="C92" s="13" t="s">
        <v>959</v>
      </c>
      <c r="D92" s="13" t="s">
        <v>960</v>
      </c>
      <c r="E92" s="12" t="s">
        <v>925</v>
      </c>
      <c r="F92" s="12" t="s">
        <v>961</v>
      </c>
      <c r="G92" s="12" t="s">
        <v>962</v>
      </c>
      <c r="H92" s="13" t="s">
        <v>52</v>
      </c>
      <c r="I92" s="13" t="s">
        <v>460</v>
      </c>
      <c r="J92" s="13" t="s">
        <v>7</v>
      </c>
      <c r="K92" s="17">
        <f t="shared" si="2"/>
        <v>1</v>
      </c>
      <c r="L92" s="13" t="s">
        <v>928</v>
      </c>
      <c r="M92" s="13" t="s">
        <v>26</v>
      </c>
      <c r="N92" s="13" t="s">
        <v>220</v>
      </c>
      <c r="O92" s="15">
        <f>总览!$C$5+3</f>
        <v>46218</v>
      </c>
      <c r="P92" s="15"/>
      <c r="Q92" s="12" t="s">
        <v>2527</v>
      </c>
      <c r="R92" s="12" t="s">
        <v>2528</v>
      </c>
      <c r="S92" s="12" t="s">
        <v>2529</v>
      </c>
    </row>
    <row r="93" spans="1:19" ht="46.5">
      <c r="A93" s="13" t="s">
        <v>963</v>
      </c>
      <c r="B93" s="13" t="s">
        <v>416</v>
      </c>
      <c r="C93" s="13" t="s">
        <v>964</v>
      </c>
      <c r="D93" s="13" t="s">
        <v>965</v>
      </c>
      <c r="E93" s="12" t="s">
        <v>925</v>
      </c>
      <c r="F93" s="12" t="s">
        <v>966</v>
      </c>
      <c r="G93" s="12" t="s">
        <v>753</v>
      </c>
      <c r="H93" s="13" t="s">
        <v>52</v>
      </c>
      <c r="I93" s="13" t="s">
        <v>460</v>
      </c>
      <c r="J93" s="13" t="s">
        <v>7</v>
      </c>
      <c r="K93" s="17">
        <f t="shared" si="2"/>
        <v>1</v>
      </c>
      <c r="L93" s="13" t="s">
        <v>928</v>
      </c>
      <c r="M93" s="13" t="s">
        <v>26</v>
      </c>
      <c r="N93" s="13" t="s">
        <v>220</v>
      </c>
      <c r="O93" s="15">
        <f>总览!$C$5+3</f>
        <v>46218</v>
      </c>
      <c r="P93" s="15"/>
      <c r="Q93" s="12" t="s">
        <v>2527</v>
      </c>
      <c r="R93" s="12" t="s">
        <v>2528</v>
      </c>
      <c r="S93" s="12" t="s">
        <v>2529</v>
      </c>
    </row>
    <row r="94" spans="1:19" ht="46.5">
      <c r="A94" s="13" t="s">
        <v>967</v>
      </c>
      <c r="B94" s="13" t="s">
        <v>416</v>
      </c>
      <c r="C94" s="13" t="s">
        <v>968</v>
      </c>
      <c r="D94" s="13" t="s">
        <v>969</v>
      </c>
      <c r="E94" s="12" t="s">
        <v>925</v>
      </c>
      <c r="F94" s="12" t="s">
        <v>970</v>
      </c>
      <c r="G94" s="12" t="s">
        <v>829</v>
      </c>
      <c r="H94" s="13" t="s">
        <v>52</v>
      </c>
      <c r="I94" s="13" t="s">
        <v>460</v>
      </c>
      <c r="J94" s="13" t="s">
        <v>7</v>
      </c>
      <c r="K94" s="17">
        <f t="shared" si="2"/>
        <v>1</v>
      </c>
      <c r="L94" s="13" t="s">
        <v>928</v>
      </c>
      <c r="M94" s="13" t="s">
        <v>26</v>
      </c>
      <c r="N94" s="13" t="s">
        <v>220</v>
      </c>
      <c r="O94" s="15">
        <f>总览!$C$5+3</f>
        <v>46218</v>
      </c>
      <c r="P94" s="15"/>
      <c r="Q94" s="12" t="s">
        <v>2527</v>
      </c>
      <c r="R94" s="12" t="s">
        <v>2528</v>
      </c>
      <c r="S94" s="12" t="s">
        <v>2529</v>
      </c>
    </row>
    <row r="95" spans="1:19" ht="46.5">
      <c r="A95" s="13" t="s">
        <v>971</v>
      </c>
      <c r="B95" s="13" t="s">
        <v>416</v>
      </c>
      <c r="C95" s="13" t="s">
        <v>972</v>
      </c>
      <c r="D95" s="13" t="s">
        <v>973</v>
      </c>
      <c r="E95" s="12" t="s">
        <v>925</v>
      </c>
      <c r="F95" s="12" t="s">
        <v>974</v>
      </c>
      <c r="G95" s="12" t="s">
        <v>743</v>
      </c>
      <c r="H95" s="13" t="s">
        <v>52</v>
      </c>
      <c r="I95" s="13" t="s">
        <v>460</v>
      </c>
      <c r="J95" s="13" t="s">
        <v>7</v>
      </c>
      <c r="K95" s="17">
        <f t="shared" si="2"/>
        <v>1</v>
      </c>
      <c r="L95" s="13" t="s">
        <v>928</v>
      </c>
      <c r="M95" s="13" t="s">
        <v>26</v>
      </c>
      <c r="N95" s="13" t="s">
        <v>220</v>
      </c>
      <c r="O95" s="15">
        <f>总览!$C$5+3</f>
        <v>46218</v>
      </c>
      <c r="P95" s="15"/>
      <c r="Q95" s="12" t="s">
        <v>2527</v>
      </c>
      <c r="R95" s="12" t="s">
        <v>2528</v>
      </c>
      <c r="S95" s="12" t="s">
        <v>2529</v>
      </c>
    </row>
    <row r="96" spans="1:19" ht="46.5">
      <c r="A96" s="13" t="s">
        <v>975</v>
      </c>
      <c r="B96" s="13" t="s">
        <v>416</v>
      </c>
      <c r="C96" s="13" t="s">
        <v>976</v>
      </c>
      <c r="D96" s="13" t="s">
        <v>977</v>
      </c>
      <c r="E96" s="12" t="s">
        <v>925</v>
      </c>
      <c r="F96" s="12" t="s">
        <v>978</v>
      </c>
      <c r="G96" s="12" t="s">
        <v>979</v>
      </c>
      <c r="H96" s="13" t="s">
        <v>52</v>
      </c>
      <c r="I96" s="13" t="s">
        <v>460</v>
      </c>
      <c r="J96" s="13" t="s">
        <v>7</v>
      </c>
      <c r="K96" s="17">
        <f t="shared" si="2"/>
        <v>1</v>
      </c>
      <c r="L96" s="13" t="s">
        <v>928</v>
      </c>
      <c r="M96" s="13" t="s">
        <v>26</v>
      </c>
      <c r="N96" s="13" t="s">
        <v>220</v>
      </c>
      <c r="O96" s="15">
        <f>总览!$C$5+3</f>
        <v>46218</v>
      </c>
      <c r="P96" s="15"/>
      <c r="Q96" s="12" t="s">
        <v>2527</v>
      </c>
      <c r="R96" s="12" t="s">
        <v>2528</v>
      </c>
      <c r="S96" s="12" t="s">
        <v>2529</v>
      </c>
    </row>
    <row r="97" spans="1:19" ht="46.5">
      <c r="A97" s="13" t="s">
        <v>980</v>
      </c>
      <c r="B97" s="13" t="s">
        <v>416</v>
      </c>
      <c r="C97" s="13" t="s">
        <v>981</v>
      </c>
      <c r="D97" s="13" t="s">
        <v>982</v>
      </c>
      <c r="E97" s="12" t="s">
        <v>925</v>
      </c>
      <c r="F97" s="12" t="s">
        <v>983</v>
      </c>
      <c r="G97" s="12" t="s">
        <v>984</v>
      </c>
      <c r="H97" s="13" t="s">
        <v>52</v>
      </c>
      <c r="I97" s="13" t="s">
        <v>460</v>
      </c>
      <c r="J97" s="13" t="s">
        <v>7</v>
      </c>
      <c r="K97" s="17">
        <f t="shared" si="2"/>
        <v>1</v>
      </c>
      <c r="L97" s="13" t="s">
        <v>928</v>
      </c>
      <c r="M97" s="13" t="s">
        <v>26</v>
      </c>
      <c r="N97" s="13" t="s">
        <v>220</v>
      </c>
      <c r="O97" s="15">
        <f>总览!$C$5+3</f>
        <v>46218</v>
      </c>
      <c r="P97" s="15"/>
      <c r="Q97" s="12" t="s">
        <v>2527</v>
      </c>
      <c r="R97" s="12" t="s">
        <v>2528</v>
      </c>
      <c r="S97" s="12" t="s">
        <v>2529</v>
      </c>
    </row>
    <row r="98" spans="1:19" ht="46.5">
      <c r="A98" s="13" t="s">
        <v>985</v>
      </c>
      <c r="B98" s="13" t="s">
        <v>986</v>
      </c>
      <c r="C98" s="13" t="s">
        <v>987</v>
      </c>
      <c r="D98" s="13" t="s">
        <v>988</v>
      </c>
      <c r="E98" s="12" t="s">
        <v>989</v>
      </c>
      <c r="F98" s="12" t="s">
        <v>990</v>
      </c>
      <c r="G98" s="12" t="s">
        <v>991</v>
      </c>
      <c r="H98" s="13" t="s">
        <v>52</v>
      </c>
      <c r="I98" s="13" t="s">
        <v>460</v>
      </c>
      <c r="J98" s="13" t="s">
        <v>7</v>
      </c>
      <c r="K98" s="17">
        <f t="shared" si="2"/>
        <v>1</v>
      </c>
      <c r="L98" s="13" t="s">
        <v>992</v>
      </c>
      <c r="M98" s="13" t="s">
        <v>26</v>
      </c>
      <c r="N98" s="13" t="s">
        <v>220</v>
      </c>
      <c r="O98" s="15">
        <f>总览!$C$5+3</f>
        <v>46218</v>
      </c>
      <c r="P98" s="15"/>
      <c r="Q98" s="12" t="s">
        <v>2527</v>
      </c>
      <c r="R98" s="12" t="s">
        <v>2528</v>
      </c>
      <c r="S98" s="12" t="s">
        <v>2529</v>
      </c>
    </row>
    <row r="99" spans="1:19" ht="46.5">
      <c r="A99" s="13" t="s">
        <v>993</v>
      </c>
      <c r="B99" s="13" t="s">
        <v>986</v>
      </c>
      <c r="C99" s="13" t="s">
        <v>994</v>
      </c>
      <c r="D99" s="13" t="s">
        <v>995</v>
      </c>
      <c r="E99" s="12" t="s">
        <v>989</v>
      </c>
      <c r="F99" s="12" t="s">
        <v>996</v>
      </c>
      <c r="G99" s="12" t="s">
        <v>997</v>
      </c>
      <c r="H99" s="13" t="s">
        <v>52</v>
      </c>
      <c r="I99" s="13" t="s">
        <v>460</v>
      </c>
      <c r="J99" s="13" t="s">
        <v>7</v>
      </c>
      <c r="K99" s="17">
        <f t="shared" si="2"/>
        <v>1</v>
      </c>
      <c r="L99" s="13" t="s">
        <v>992</v>
      </c>
      <c r="M99" s="13" t="s">
        <v>26</v>
      </c>
      <c r="N99" s="13" t="s">
        <v>220</v>
      </c>
      <c r="O99" s="15">
        <f>总览!$C$5+3</f>
        <v>46218</v>
      </c>
      <c r="P99" s="15"/>
      <c r="Q99" s="12" t="s">
        <v>2527</v>
      </c>
      <c r="R99" s="12" t="s">
        <v>2528</v>
      </c>
      <c r="S99" s="12" t="s">
        <v>2529</v>
      </c>
    </row>
    <row r="100" spans="1:19" ht="46.5">
      <c r="A100" s="13" t="s">
        <v>998</v>
      </c>
      <c r="B100" s="13" t="s">
        <v>986</v>
      </c>
      <c r="C100" s="13" t="s">
        <v>999</v>
      </c>
      <c r="D100" s="13" t="s">
        <v>1000</v>
      </c>
      <c r="E100" s="12" t="s">
        <v>989</v>
      </c>
      <c r="F100" s="12" t="s">
        <v>1001</v>
      </c>
      <c r="G100" s="12" t="s">
        <v>753</v>
      </c>
      <c r="H100" s="13" t="s">
        <v>52</v>
      </c>
      <c r="I100" s="13" t="s">
        <v>460</v>
      </c>
      <c r="J100" s="13" t="s">
        <v>7</v>
      </c>
      <c r="K100" s="17">
        <f t="shared" si="2"/>
        <v>1</v>
      </c>
      <c r="L100" s="13" t="s">
        <v>992</v>
      </c>
      <c r="M100" s="13" t="s">
        <v>26</v>
      </c>
      <c r="N100" s="13" t="s">
        <v>220</v>
      </c>
      <c r="O100" s="15">
        <f>总览!$C$5+3</f>
        <v>46218</v>
      </c>
      <c r="P100" s="15"/>
      <c r="Q100" s="12" t="s">
        <v>2527</v>
      </c>
      <c r="R100" s="12" t="s">
        <v>2528</v>
      </c>
      <c r="S100" s="12" t="s">
        <v>2529</v>
      </c>
    </row>
    <row r="101" spans="1:19" ht="46.5">
      <c r="A101" s="13" t="s">
        <v>1002</v>
      </c>
      <c r="B101" s="13" t="s">
        <v>986</v>
      </c>
      <c r="C101" s="13" t="s">
        <v>1003</v>
      </c>
      <c r="D101" s="13" t="s">
        <v>1004</v>
      </c>
      <c r="E101" s="12" t="s">
        <v>989</v>
      </c>
      <c r="F101" s="12" t="s">
        <v>1005</v>
      </c>
      <c r="G101" s="12" t="s">
        <v>1006</v>
      </c>
      <c r="H101" s="13" t="s">
        <v>52</v>
      </c>
      <c r="I101" s="13" t="s">
        <v>460</v>
      </c>
      <c r="J101" s="13" t="s">
        <v>7</v>
      </c>
      <c r="K101" s="17">
        <f t="shared" ref="K101:K132" si="3">IF(J101="不适用","",IF(J101="已完成",1,IF(J101="待审核",0.9,IF(J101="进行中",0.5,IF(J101="已阻塞",0.25,0)))))</f>
        <v>1</v>
      </c>
      <c r="L101" s="13" t="s">
        <v>992</v>
      </c>
      <c r="M101" s="13" t="s">
        <v>26</v>
      </c>
      <c r="N101" s="13" t="s">
        <v>220</v>
      </c>
      <c r="O101" s="15">
        <f>总览!$C$5+3</f>
        <v>46218</v>
      </c>
      <c r="P101" s="15"/>
      <c r="Q101" s="12" t="s">
        <v>2527</v>
      </c>
      <c r="R101" s="12" t="s">
        <v>2528</v>
      </c>
      <c r="S101" s="12" t="s">
        <v>2529</v>
      </c>
    </row>
    <row r="102" spans="1:19" ht="46.5">
      <c r="A102" s="13" t="s">
        <v>1007</v>
      </c>
      <c r="B102" s="13" t="s">
        <v>986</v>
      </c>
      <c r="C102" s="13" t="s">
        <v>1008</v>
      </c>
      <c r="D102" s="13" t="s">
        <v>1009</v>
      </c>
      <c r="E102" s="12" t="s">
        <v>989</v>
      </c>
      <c r="F102" s="12" t="s">
        <v>1010</v>
      </c>
      <c r="G102" s="12" t="s">
        <v>1011</v>
      </c>
      <c r="H102" s="13" t="s">
        <v>52</v>
      </c>
      <c r="I102" s="13" t="s">
        <v>460</v>
      </c>
      <c r="J102" s="13" t="s">
        <v>7</v>
      </c>
      <c r="K102" s="17">
        <f t="shared" si="3"/>
        <v>1</v>
      </c>
      <c r="L102" s="13" t="s">
        <v>992</v>
      </c>
      <c r="M102" s="13" t="s">
        <v>26</v>
      </c>
      <c r="N102" s="13" t="s">
        <v>220</v>
      </c>
      <c r="O102" s="15">
        <f>总览!$C$5+3</f>
        <v>46218</v>
      </c>
      <c r="P102" s="15"/>
      <c r="Q102" s="12" t="s">
        <v>2527</v>
      </c>
      <c r="R102" s="12" t="s">
        <v>2528</v>
      </c>
      <c r="S102" s="12" t="s">
        <v>2529</v>
      </c>
    </row>
    <row r="103" spans="1:19" ht="46.5">
      <c r="A103" s="13" t="s">
        <v>1012</v>
      </c>
      <c r="B103" s="13" t="s">
        <v>986</v>
      </c>
      <c r="C103" s="13" t="s">
        <v>620</v>
      </c>
      <c r="D103" s="13" t="s">
        <v>1013</v>
      </c>
      <c r="E103" s="12" t="s">
        <v>989</v>
      </c>
      <c r="F103" s="12" t="s">
        <v>1014</v>
      </c>
      <c r="G103" s="12" t="s">
        <v>1015</v>
      </c>
      <c r="H103" s="13" t="s">
        <v>52</v>
      </c>
      <c r="I103" s="13" t="s">
        <v>460</v>
      </c>
      <c r="J103" s="13" t="s">
        <v>7</v>
      </c>
      <c r="K103" s="17">
        <f t="shared" si="3"/>
        <v>1</v>
      </c>
      <c r="L103" s="13" t="s">
        <v>992</v>
      </c>
      <c r="M103" s="13" t="s">
        <v>26</v>
      </c>
      <c r="N103" s="13" t="s">
        <v>220</v>
      </c>
      <c r="O103" s="15">
        <f>总览!$C$5+3</f>
        <v>46218</v>
      </c>
      <c r="P103" s="15"/>
      <c r="Q103" s="12" t="s">
        <v>2527</v>
      </c>
      <c r="R103" s="12" t="s">
        <v>2528</v>
      </c>
      <c r="S103" s="12" t="s">
        <v>2529</v>
      </c>
    </row>
    <row r="104" spans="1:19" ht="46.5">
      <c r="A104" s="13" t="s">
        <v>1016</v>
      </c>
      <c r="B104" s="13" t="s">
        <v>986</v>
      </c>
      <c r="C104" s="13" t="s">
        <v>1017</v>
      </c>
      <c r="D104" s="13" t="s">
        <v>1018</v>
      </c>
      <c r="E104" s="12" t="s">
        <v>989</v>
      </c>
      <c r="F104" s="12" t="s">
        <v>1019</v>
      </c>
      <c r="G104" s="12" t="s">
        <v>1020</v>
      </c>
      <c r="H104" s="13" t="s">
        <v>52</v>
      </c>
      <c r="I104" s="13" t="s">
        <v>460</v>
      </c>
      <c r="J104" s="13" t="s">
        <v>7</v>
      </c>
      <c r="K104" s="17">
        <f t="shared" si="3"/>
        <v>1</v>
      </c>
      <c r="L104" s="13" t="s">
        <v>992</v>
      </c>
      <c r="M104" s="13" t="s">
        <v>26</v>
      </c>
      <c r="N104" s="13" t="s">
        <v>220</v>
      </c>
      <c r="O104" s="15">
        <f>总览!$C$5+3</f>
        <v>46218</v>
      </c>
      <c r="P104" s="15"/>
      <c r="Q104" s="12" t="s">
        <v>2527</v>
      </c>
      <c r="R104" s="12" t="s">
        <v>2528</v>
      </c>
      <c r="S104" s="12" t="s">
        <v>2529</v>
      </c>
    </row>
    <row r="105" spans="1:19" ht="46.5">
      <c r="A105" s="13" t="s">
        <v>1021</v>
      </c>
      <c r="B105" s="13" t="s">
        <v>986</v>
      </c>
      <c r="C105" s="13" t="s">
        <v>1022</v>
      </c>
      <c r="D105" s="13" t="s">
        <v>1023</v>
      </c>
      <c r="E105" s="12" t="s">
        <v>989</v>
      </c>
      <c r="F105" s="12" t="s">
        <v>1024</v>
      </c>
      <c r="G105" s="12" t="s">
        <v>1025</v>
      </c>
      <c r="H105" s="13" t="s">
        <v>52</v>
      </c>
      <c r="I105" s="13" t="s">
        <v>460</v>
      </c>
      <c r="J105" s="13" t="s">
        <v>7</v>
      </c>
      <c r="K105" s="17">
        <f t="shared" si="3"/>
        <v>1</v>
      </c>
      <c r="L105" s="13" t="s">
        <v>992</v>
      </c>
      <c r="M105" s="13" t="s">
        <v>26</v>
      </c>
      <c r="N105" s="13" t="s">
        <v>220</v>
      </c>
      <c r="O105" s="15">
        <f>总览!$C$5+3</f>
        <v>46218</v>
      </c>
      <c r="P105" s="15"/>
      <c r="Q105" s="12" t="s">
        <v>2527</v>
      </c>
      <c r="R105" s="12" t="s">
        <v>2528</v>
      </c>
      <c r="S105" s="12" t="s">
        <v>2529</v>
      </c>
    </row>
    <row r="106" spans="1:19" ht="34.9">
      <c r="A106" s="13" t="s">
        <v>1026</v>
      </c>
      <c r="B106" s="13" t="s">
        <v>1027</v>
      </c>
      <c r="C106" s="13" t="s">
        <v>1028</v>
      </c>
      <c r="D106" s="13" t="s">
        <v>1029</v>
      </c>
      <c r="E106" s="12" t="s">
        <v>1030</v>
      </c>
      <c r="F106" s="12" t="s">
        <v>1031</v>
      </c>
      <c r="G106" s="12" t="s">
        <v>1032</v>
      </c>
      <c r="H106" s="13" t="s">
        <v>52</v>
      </c>
      <c r="I106" s="13" t="s">
        <v>460</v>
      </c>
      <c r="J106" s="13" t="s">
        <v>7</v>
      </c>
      <c r="K106" s="17">
        <f t="shared" si="3"/>
        <v>1</v>
      </c>
      <c r="L106" s="13" t="s">
        <v>1033</v>
      </c>
      <c r="M106" s="13" t="s">
        <v>26</v>
      </c>
      <c r="N106" s="13" t="s">
        <v>220</v>
      </c>
      <c r="O106" s="15">
        <f>总览!$C$5+3</f>
        <v>46218</v>
      </c>
      <c r="P106" s="15"/>
      <c r="Q106" s="12" t="s">
        <v>2530</v>
      </c>
      <c r="R106" s="12" t="s">
        <v>2531</v>
      </c>
      <c r="S106" s="12" t="s">
        <v>2532</v>
      </c>
    </row>
    <row r="107" spans="1:19" ht="34.9">
      <c r="A107" s="13" t="s">
        <v>1034</v>
      </c>
      <c r="B107" s="13" t="s">
        <v>1027</v>
      </c>
      <c r="C107" s="13" t="s">
        <v>1035</v>
      </c>
      <c r="D107" s="13" t="s">
        <v>1036</v>
      </c>
      <c r="E107" s="12" t="s">
        <v>1030</v>
      </c>
      <c r="F107" s="12" t="s">
        <v>1037</v>
      </c>
      <c r="G107" s="12" t="s">
        <v>1038</v>
      </c>
      <c r="H107" s="13" t="s">
        <v>52</v>
      </c>
      <c r="I107" s="13" t="s">
        <v>460</v>
      </c>
      <c r="J107" s="13" t="s">
        <v>7</v>
      </c>
      <c r="K107" s="17">
        <f t="shared" si="3"/>
        <v>1</v>
      </c>
      <c r="L107" s="13" t="s">
        <v>1033</v>
      </c>
      <c r="M107" s="13" t="s">
        <v>26</v>
      </c>
      <c r="N107" s="13" t="s">
        <v>220</v>
      </c>
      <c r="O107" s="15">
        <f>总览!$C$5+3</f>
        <v>46218</v>
      </c>
      <c r="P107" s="15"/>
      <c r="Q107" s="12" t="s">
        <v>2530</v>
      </c>
      <c r="R107" s="12" t="s">
        <v>2531</v>
      </c>
      <c r="S107" s="12" t="s">
        <v>2532</v>
      </c>
    </row>
    <row r="108" spans="1:19" ht="34.9">
      <c r="A108" s="13" t="s">
        <v>1039</v>
      </c>
      <c r="B108" s="13" t="s">
        <v>1027</v>
      </c>
      <c r="C108" s="13" t="s">
        <v>1040</v>
      </c>
      <c r="D108" s="13" t="s">
        <v>1041</v>
      </c>
      <c r="E108" s="12" t="s">
        <v>1030</v>
      </c>
      <c r="F108" s="12" t="s">
        <v>1042</v>
      </c>
      <c r="G108" s="12" t="s">
        <v>1043</v>
      </c>
      <c r="H108" s="13" t="s">
        <v>52</v>
      </c>
      <c r="I108" s="13" t="s">
        <v>460</v>
      </c>
      <c r="J108" s="13" t="s">
        <v>7</v>
      </c>
      <c r="K108" s="17">
        <f t="shared" si="3"/>
        <v>1</v>
      </c>
      <c r="L108" s="13" t="s">
        <v>1033</v>
      </c>
      <c r="M108" s="13" t="s">
        <v>26</v>
      </c>
      <c r="N108" s="13" t="s">
        <v>220</v>
      </c>
      <c r="O108" s="15">
        <f>总览!$C$5+3</f>
        <v>46218</v>
      </c>
      <c r="P108" s="15"/>
      <c r="Q108" s="12" t="s">
        <v>2530</v>
      </c>
      <c r="R108" s="12" t="s">
        <v>2531</v>
      </c>
      <c r="S108" s="12" t="s">
        <v>2532</v>
      </c>
    </row>
    <row r="109" spans="1:19" ht="34.9">
      <c r="A109" s="13" t="s">
        <v>1044</v>
      </c>
      <c r="B109" s="13" t="s">
        <v>1027</v>
      </c>
      <c r="C109" s="13" t="s">
        <v>1045</v>
      </c>
      <c r="D109" s="13" t="s">
        <v>1046</v>
      </c>
      <c r="E109" s="12" t="s">
        <v>1030</v>
      </c>
      <c r="F109" s="12" t="s">
        <v>1047</v>
      </c>
      <c r="G109" s="12" t="s">
        <v>1048</v>
      </c>
      <c r="H109" s="13" t="s">
        <v>52</v>
      </c>
      <c r="I109" s="13" t="s">
        <v>460</v>
      </c>
      <c r="J109" s="13" t="s">
        <v>7</v>
      </c>
      <c r="K109" s="17">
        <f t="shared" si="3"/>
        <v>1</v>
      </c>
      <c r="L109" s="13" t="s">
        <v>1033</v>
      </c>
      <c r="M109" s="13" t="s">
        <v>26</v>
      </c>
      <c r="N109" s="13" t="s">
        <v>220</v>
      </c>
      <c r="O109" s="15">
        <f>总览!$C$5+3</f>
        <v>46218</v>
      </c>
      <c r="P109" s="15"/>
      <c r="Q109" s="12" t="s">
        <v>2530</v>
      </c>
      <c r="R109" s="12" t="s">
        <v>2531</v>
      </c>
      <c r="S109" s="12" t="s">
        <v>2532</v>
      </c>
    </row>
    <row r="110" spans="1:19" ht="34.9">
      <c r="A110" s="13" t="s">
        <v>1049</v>
      </c>
      <c r="B110" s="13" t="s">
        <v>1027</v>
      </c>
      <c r="C110" s="13" t="s">
        <v>1050</v>
      </c>
      <c r="D110" s="13" t="s">
        <v>1051</v>
      </c>
      <c r="E110" s="12" t="s">
        <v>1030</v>
      </c>
      <c r="F110" s="12" t="s">
        <v>1052</v>
      </c>
      <c r="G110" s="12" t="s">
        <v>1053</v>
      </c>
      <c r="H110" s="13" t="s">
        <v>52</v>
      </c>
      <c r="I110" s="13" t="s">
        <v>460</v>
      </c>
      <c r="J110" s="13" t="s">
        <v>7</v>
      </c>
      <c r="K110" s="17">
        <f t="shared" si="3"/>
        <v>1</v>
      </c>
      <c r="L110" s="13" t="s">
        <v>1033</v>
      </c>
      <c r="M110" s="13" t="s">
        <v>26</v>
      </c>
      <c r="N110" s="13" t="s">
        <v>220</v>
      </c>
      <c r="O110" s="15">
        <f>总览!$C$5+3</f>
        <v>46218</v>
      </c>
      <c r="P110" s="15"/>
      <c r="Q110" s="12" t="s">
        <v>2530</v>
      </c>
      <c r="R110" s="12" t="s">
        <v>2531</v>
      </c>
      <c r="S110" s="12" t="s">
        <v>2532</v>
      </c>
    </row>
    <row r="111" spans="1:19" ht="34.9">
      <c r="A111" s="13" t="s">
        <v>1054</v>
      </c>
      <c r="B111" s="13" t="s">
        <v>1027</v>
      </c>
      <c r="C111" s="13" t="s">
        <v>1055</v>
      </c>
      <c r="D111" s="13" t="s">
        <v>1056</v>
      </c>
      <c r="E111" s="12" t="s">
        <v>1030</v>
      </c>
      <c r="F111" s="12" t="s">
        <v>1057</v>
      </c>
      <c r="G111" s="12" t="s">
        <v>1058</v>
      </c>
      <c r="H111" s="13" t="s">
        <v>52</v>
      </c>
      <c r="I111" s="13" t="s">
        <v>460</v>
      </c>
      <c r="J111" s="13" t="s">
        <v>7</v>
      </c>
      <c r="K111" s="17">
        <f t="shared" si="3"/>
        <v>1</v>
      </c>
      <c r="L111" s="13" t="s">
        <v>1033</v>
      </c>
      <c r="M111" s="13" t="s">
        <v>26</v>
      </c>
      <c r="N111" s="13" t="s">
        <v>220</v>
      </c>
      <c r="O111" s="15">
        <f>总览!$C$5+3</f>
        <v>46218</v>
      </c>
      <c r="P111" s="15"/>
      <c r="Q111" s="12" t="s">
        <v>2530</v>
      </c>
      <c r="R111" s="12" t="s">
        <v>2531</v>
      </c>
      <c r="S111" s="12" t="s">
        <v>2532</v>
      </c>
    </row>
    <row r="112" spans="1:19" ht="34.9">
      <c r="A112" s="13" t="s">
        <v>1059</v>
      </c>
      <c r="B112" s="13" t="s">
        <v>1027</v>
      </c>
      <c r="C112" s="13" t="s">
        <v>1060</v>
      </c>
      <c r="D112" s="13" t="s">
        <v>1061</v>
      </c>
      <c r="E112" s="12" t="s">
        <v>1030</v>
      </c>
      <c r="F112" s="12" t="s">
        <v>1062</v>
      </c>
      <c r="G112" s="12" t="s">
        <v>1063</v>
      </c>
      <c r="H112" s="13" t="s">
        <v>52</v>
      </c>
      <c r="I112" s="13" t="s">
        <v>460</v>
      </c>
      <c r="J112" s="13" t="s">
        <v>7</v>
      </c>
      <c r="K112" s="17">
        <f t="shared" si="3"/>
        <v>1</v>
      </c>
      <c r="L112" s="13" t="s">
        <v>1033</v>
      </c>
      <c r="M112" s="13" t="s">
        <v>26</v>
      </c>
      <c r="N112" s="13" t="s">
        <v>220</v>
      </c>
      <c r="O112" s="15">
        <f>总览!$C$5+3</f>
        <v>46218</v>
      </c>
      <c r="P112" s="15"/>
      <c r="Q112" s="12" t="s">
        <v>2530</v>
      </c>
      <c r="R112" s="12" t="s">
        <v>2531</v>
      </c>
      <c r="S112" s="12" t="s">
        <v>2532</v>
      </c>
    </row>
    <row r="113" spans="1:19" ht="34.9">
      <c r="A113" s="13" t="s">
        <v>1064</v>
      </c>
      <c r="B113" s="13" t="s">
        <v>1027</v>
      </c>
      <c r="C113" s="13" t="s">
        <v>1065</v>
      </c>
      <c r="D113" s="13" t="s">
        <v>1066</v>
      </c>
      <c r="E113" s="12" t="s">
        <v>1030</v>
      </c>
      <c r="F113" s="12" t="s">
        <v>1067</v>
      </c>
      <c r="G113" s="12" t="s">
        <v>1068</v>
      </c>
      <c r="H113" s="13" t="s">
        <v>52</v>
      </c>
      <c r="I113" s="13" t="s">
        <v>460</v>
      </c>
      <c r="J113" s="13" t="s">
        <v>7</v>
      </c>
      <c r="K113" s="17">
        <f t="shared" si="3"/>
        <v>1</v>
      </c>
      <c r="L113" s="13" t="s">
        <v>1033</v>
      </c>
      <c r="M113" s="13" t="s">
        <v>26</v>
      </c>
      <c r="N113" s="13" t="s">
        <v>220</v>
      </c>
      <c r="O113" s="15">
        <f>总览!$C$5+3</f>
        <v>46218</v>
      </c>
      <c r="P113" s="15"/>
      <c r="Q113" s="12" t="s">
        <v>2530</v>
      </c>
      <c r="R113" s="12" t="s">
        <v>2531</v>
      </c>
      <c r="S113" s="12" t="s">
        <v>2532</v>
      </c>
    </row>
    <row r="114" spans="1:19" ht="34.9">
      <c r="A114" s="13" t="s">
        <v>1069</v>
      </c>
      <c r="B114" s="13" t="s">
        <v>1027</v>
      </c>
      <c r="C114" s="13" t="s">
        <v>1070</v>
      </c>
      <c r="D114" s="13" t="s">
        <v>1071</v>
      </c>
      <c r="E114" s="12" t="s">
        <v>1030</v>
      </c>
      <c r="F114" s="12" t="s">
        <v>1072</v>
      </c>
      <c r="G114" s="12" t="s">
        <v>1073</v>
      </c>
      <c r="H114" s="13" t="s">
        <v>52</v>
      </c>
      <c r="I114" s="13" t="s">
        <v>460</v>
      </c>
      <c r="J114" s="13" t="s">
        <v>7</v>
      </c>
      <c r="K114" s="17">
        <f t="shared" si="3"/>
        <v>1</v>
      </c>
      <c r="L114" s="13" t="s">
        <v>1033</v>
      </c>
      <c r="M114" s="13" t="s">
        <v>26</v>
      </c>
      <c r="N114" s="13" t="s">
        <v>220</v>
      </c>
      <c r="O114" s="15">
        <f>总览!$C$5+3</f>
        <v>46218</v>
      </c>
      <c r="P114" s="15"/>
      <c r="Q114" s="12" t="s">
        <v>2530</v>
      </c>
      <c r="R114" s="12" t="s">
        <v>2531</v>
      </c>
      <c r="S114" s="12" t="s">
        <v>2532</v>
      </c>
    </row>
    <row r="115" spans="1:19" ht="34.9">
      <c r="A115" s="13" t="s">
        <v>1074</v>
      </c>
      <c r="B115" s="13" t="s">
        <v>1027</v>
      </c>
      <c r="C115" s="13" t="s">
        <v>1075</v>
      </c>
      <c r="D115" s="13" t="s">
        <v>1076</v>
      </c>
      <c r="E115" s="12" t="s">
        <v>1030</v>
      </c>
      <c r="F115" s="12" t="s">
        <v>1077</v>
      </c>
      <c r="G115" s="12" t="s">
        <v>1078</v>
      </c>
      <c r="H115" s="13" t="s">
        <v>52</v>
      </c>
      <c r="I115" s="13" t="s">
        <v>460</v>
      </c>
      <c r="J115" s="13" t="s">
        <v>7</v>
      </c>
      <c r="K115" s="17">
        <f t="shared" si="3"/>
        <v>1</v>
      </c>
      <c r="L115" s="13" t="s">
        <v>1033</v>
      </c>
      <c r="M115" s="13" t="s">
        <v>26</v>
      </c>
      <c r="N115" s="13" t="s">
        <v>220</v>
      </c>
      <c r="O115" s="15">
        <f>总览!$C$5+3</f>
        <v>46218</v>
      </c>
      <c r="P115" s="15"/>
      <c r="Q115" s="12" t="s">
        <v>2530</v>
      </c>
      <c r="R115" s="12" t="s">
        <v>2531</v>
      </c>
      <c r="S115" s="12" t="s">
        <v>2532</v>
      </c>
    </row>
    <row r="116" spans="1:19" ht="34.9">
      <c r="A116" s="13" t="s">
        <v>1079</v>
      </c>
      <c r="B116" s="13" t="s">
        <v>1027</v>
      </c>
      <c r="C116" s="13" t="s">
        <v>1080</v>
      </c>
      <c r="D116" s="13" t="s">
        <v>1081</v>
      </c>
      <c r="E116" s="12" t="s">
        <v>1030</v>
      </c>
      <c r="F116" s="12" t="s">
        <v>1082</v>
      </c>
      <c r="G116" s="12" t="s">
        <v>1083</v>
      </c>
      <c r="H116" s="13" t="s">
        <v>52</v>
      </c>
      <c r="I116" s="13" t="s">
        <v>460</v>
      </c>
      <c r="J116" s="13" t="s">
        <v>7</v>
      </c>
      <c r="K116" s="17">
        <f t="shared" si="3"/>
        <v>1</v>
      </c>
      <c r="L116" s="13" t="s">
        <v>1033</v>
      </c>
      <c r="M116" s="13" t="s">
        <v>26</v>
      </c>
      <c r="N116" s="13" t="s">
        <v>220</v>
      </c>
      <c r="O116" s="15">
        <f>总览!$C$5+3</f>
        <v>46218</v>
      </c>
      <c r="P116" s="15"/>
      <c r="Q116" s="12" t="s">
        <v>2530</v>
      </c>
      <c r="R116" s="12" t="s">
        <v>2531</v>
      </c>
      <c r="S116" s="12" t="s">
        <v>2532</v>
      </c>
    </row>
    <row r="117" spans="1:19" ht="34.9">
      <c r="A117" s="13" t="s">
        <v>1084</v>
      </c>
      <c r="B117" s="13" t="s">
        <v>1027</v>
      </c>
      <c r="C117" s="13" t="s">
        <v>1085</v>
      </c>
      <c r="D117" s="13" t="s">
        <v>1086</v>
      </c>
      <c r="E117" s="12" t="s">
        <v>1030</v>
      </c>
      <c r="F117" s="12" t="s">
        <v>1087</v>
      </c>
      <c r="G117" s="12" t="s">
        <v>1088</v>
      </c>
      <c r="H117" s="13" t="s">
        <v>52</v>
      </c>
      <c r="I117" s="13" t="s">
        <v>460</v>
      </c>
      <c r="J117" s="13" t="s">
        <v>7</v>
      </c>
      <c r="K117" s="17">
        <f t="shared" si="3"/>
        <v>1</v>
      </c>
      <c r="L117" s="13" t="s">
        <v>1033</v>
      </c>
      <c r="M117" s="13" t="s">
        <v>26</v>
      </c>
      <c r="N117" s="13" t="s">
        <v>220</v>
      </c>
      <c r="O117" s="15">
        <f>总览!$C$5+3</f>
        <v>46218</v>
      </c>
      <c r="P117" s="15"/>
      <c r="Q117" s="12" t="s">
        <v>2530</v>
      </c>
      <c r="R117" s="12" t="s">
        <v>2531</v>
      </c>
      <c r="S117" s="12" t="s">
        <v>2532</v>
      </c>
    </row>
    <row r="118" spans="1:19" ht="34.9">
      <c r="A118" s="13" t="s">
        <v>1089</v>
      </c>
      <c r="B118" s="13" t="s">
        <v>1090</v>
      </c>
      <c r="C118" s="13" t="s">
        <v>1091</v>
      </c>
      <c r="D118" s="13" t="s">
        <v>1092</v>
      </c>
      <c r="E118" s="12" t="s">
        <v>1093</v>
      </c>
      <c r="F118" s="12" t="s">
        <v>1094</v>
      </c>
      <c r="G118" s="12" t="s">
        <v>1095</v>
      </c>
      <c r="H118" s="13" t="s">
        <v>52</v>
      </c>
      <c r="I118" s="13" t="s">
        <v>460</v>
      </c>
      <c r="J118" s="13" t="s">
        <v>7</v>
      </c>
      <c r="K118" s="17">
        <f t="shared" si="3"/>
        <v>1</v>
      </c>
      <c r="L118" s="13" t="s">
        <v>1096</v>
      </c>
      <c r="M118" s="13" t="s">
        <v>26</v>
      </c>
      <c r="N118" s="13" t="s">
        <v>461</v>
      </c>
      <c r="O118" s="15">
        <f>总览!$C$5+3</f>
        <v>46218</v>
      </c>
      <c r="P118" s="15"/>
      <c r="Q118" s="12" t="s">
        <v>2533</v>
      </c>
      <c r="R118" s="12" t="s">
        <v>2534</v>
      </c>
      <c r="S118" s="12" t="s">
        <v>2535</v>
      </c>
    </row>
    <row r="119" spans="1:19" ht="58.15">
      <c r="A119" s="13" t="s">
        <v>1097</v>
      </c>
      <c r="B119" s="13" t="s">
        <v>1090</v>
      </c>
      <c r="C119" s="13" t="s">
        <v>1098</v>
      </c>
      <c r="D119" s="13" t="s">
        <v>1099</v>
      </c>
      <c r="E119" s="12" t="s">
        <v>1093</v>
      </c>
      <c r="F119" s="12" t="s">
        <v>1100</v>
      </c>
      <c r="G119" s="12" t="s">
        <v>1101</v>
      </c>
      <c r="H119" s="13" t="s">
        <v>52</v>
      </c>
      <c r="I119" s="13" t="s">
        <v>460</v>
      </c>
      <c r="J119" s="13" t="s">
        <v>320</v>
      </c>
      <c r="K119" s="17">
        <f t="shared" si="3"/>
        <v>0.9</v>
      </c>
      <c r="L119" s="13" t="s">
        <v>1096</v>
      </c>
      <c r="M119" s="13" t="s">
        <v>26</v>
      </c>
      <c r="N119" s="13" t="s">
        <v>461</v>
      </c>
      <c r="O119" s="15">
        <f>总览!$C$5+3</f>
        <v>46218</v>
      </c>
      <c r="P119" s="15"/>
      <c r="Q119" s="12" t="s">
        <v>2536</v>
      </c>
      <c r="R119" s="12" t="s">
        <v>2537</v>
      </c>
      <c r="S119" s="12" t="s">
        <v>2538</v>
      </c>
    </row>
    <row r="120" spans="1:19" ht="58.15">
      <c r="A120" s="13" t="s">
        <v>1102</v>
      </c>
      <c r="B120" s="13" t="s">
        <v>1090</v>
      </c>
      <c r="C120" s="13" t="s">
        <v>1103</v>
      </c>
      <c r="D120" s="13" t="s">
        <v>1104</v>
      </c>
      <c r="E120" s="12" t="s">
        <v>1093</v>
      </c>
      <c r="F120" s="12" t="s">
        <v>1105</v>
      </c>
      <c r="G120" s="12" t="s">
        <v>73</v>
      </c>
      <c r="H120" s="13" t="s">
        <v>52</v>
      </c>
      <c r="I120" s="13" t="s">
        <v>460</v>
      </c>
      <c r="J120" s="13" t="s">
        <v>320</v>
      </c>
      <c r="K120" s="17">
        <f t="shared" si="3"/>
        <v>0.9</v>
      </c>
      <c r="L120" s="13" t="s">
        <v>1096</v>
      </c>
      <c r="M120" s="13" t="s">
        <v>26</v>
      </c>
      <c r="N120" s="13" t="s">
        <v>461</v>
      </c>
      <c r="O120" s="15">
        <f>总览!$C$5+3</f>
        <v>46218</v>
      </c>
      <c r="P120" s="15"/>
      <c r="Q120" s="12" t="s">
        <v>2536</v>
      </c>
      <c r="R120" s="12" t="s">
        <v>2537</v>
      </c>
      <c r="S120" s="12" t="s">
        <v>2538</v>
      </c>
    </row>
    <row r="121" spans="1:19" ht="23.25">
      <c r="A121" s="13" t="s">
        <v>1106</v>
      </c>
      <c r="B121" s="13" t="s">
        <v>1090</v>
      </c>
      <c r="C121" s="13" t="s">
        <v>1107</v>
      </c>
      <c r="D121" s="13" t="s">
        <v>1108</v>
      </c>
      <c r="E121" s="12" t="s">
        <v>1093</v>
      </c>
      <c r="F121" s="12" t="s">
        <v>1109</v>
      </c>
      <c r="G121" s="12" t="s">
        <v>1110</v>
      </c>
      <c r="H121" s="13" t="s">
        <v>52</v>
      </c>
      <c r="I121" s="13" t="s">
        <v>460</v>
      </c>
      <c r="J121" s="13" t="s">
        <v>107</v>
      </c>
      <c r="K121" s="17">
        <f t="shared" si="3"/>
        <v>0.5</v>
      </c>
      <c r="L121" s="13" t="s">
        <v>1096</v>
      </c>
      <c r="M121" s="13" t="s">
        <v>26</v>
      </c>
      <c r="N121" s="13" t="s">
        <v>461</v>
      </c>
      <c r="O121" s="15">
        <f>总览!$C$5+3</f>
        <v>46218</v>
      </c>
      <c r="P121" s="15"/>
      <c r="Q121" s="12"/>
      <c r="R121" s="12"/>
      <c r="S121" s="12"/>
    </row>
    <row r="122" spans="1:19" ht="23.25">
      <c r="A122" s="13" t="s">
        <v>1111</v>
      </c>
      <c r="B122" s="13" t="s">
        <v>1090</v>
      </c>
      <c r="C122" s="13" t="s">
        <v>1112</v>
      </c>
      <c r="D122" s="13" t="s">
        <v>1113</v>
      </c>
      <c r="E122" s="12" t="s">
        <v>1093</v>
      </c>
      <c r="F122" s="12" t="s">
        <v>1114</v>
      </c>
      <c r="G122" s="12" t="s">
        <v>1115</v>
      </c>
      <c r="H122" s="13" t="s">
        <v>52</v>
      </c>
      <c r="I122" s="13" t="s">
        <v>460</v>
      </c>
      <c r="J122" s="13" t="s">
        <v>69</v>
      </c>
      <c r="K122" s="17">
        <f t="shared" si="3"/>
        <v>0</v>
      </c>
      <c r="L122" s="13" t="s">
        <v>1096</v>
      </c>
      <c r="M122" s="13" t="s">
        <v>26</v>
      </c>
      <c r="N122" s="13" t="s">
        <v>461</v>
      </c>
      <c r="O122" s="15">
        <f>总览!$C$5+3</f>
        <v>46218</v>
      </c>
      <c r="P122" s="15"/>
      <c r="Q122" s="12"/>
      <c r="R122" s="12"/>
      <c r="S122" s="12"/>
    </row>
    <row r="123" spans="1:19" ht="23.25">
      <c r="A123" s="13" t="s">
        <v>1116</v>
      </c>
      <c r="B123" s="13" t="s">
        <v>1090</v>
      </c>
      <c r="C123" s="13" t="s">
        <v>1117</v>
      </c>
      <c r="D123" s="13" t="s">
        <v>1118</v>
      </c>
      <c r="E123" s="12" t="s">
        <v>1093</v>
      </c>
      <c r="F123" s="12" t="s">
        <v>1119</v>
      </c>
      <c r="G123" s="12" t="s">
        <v>1120</v>
      </c>
      <c r="H123" s="13" t="s">
        <v>52</v>
      </c>
      <c r="I123" s="13" t="s">
        <v>460</v>
      </c>
      <c r="J123" s="13" t="s">
        <v>69</v>
      </c>
      <c r="K123" s="17">
        <f t="shared" si="3"/>
        <v>0</v>
      </c>
      <c r="L123" s="13" t="s">
        <v>1096</v>
      </c>
      <c r="M123" s="13" t="s">
        <v>26</v>
      </c>
      <c r="N123" s="13" t="s">
        <v>461</v>
      </c>
      <c r="O123" s="15">
        <f>总览!$C$5+3</f>
        <v>46218</v>
      </c>
      <c r="P123" s="15"/>
      <c r="Q123" s="12"/>
      <c r="R123" s="12"/>
      <c r="S123" s="12"/>
    </row>
    <row r="124" spans="1:19" ht="23.25">
      <c r="A124" s="13" t="s">
        <v>1121</v>
      </c>
      <c r="B124" s="13" t="s">
        <v>1090</v>
      </c>
      <c r="C124" s="13" t="s">
        <v>1122</v>
      </c>
      <c r="D124" s="13" t="s">
        <v>1123</v>
      </c>
      <c r="E124" s="12" t="s">
        <v>1093</v>
      </c>
      <c r="F124" s="12" t="s">
        <v>1124</v>
      </c>
      <c r="G124" s="12" t="s">
        <v>344</v>
      </c>
      <c r="H124" s="13" t="s">
        <v>76</v>
      </c>
      <c r="I124" s="13" t="s">
        <v>540</v>
      </c>
      <c r="J124" s="13" t="s">
        <v>69</v>
      </c>
      <c r="K124" s="17">
        <f t="shared" si="3"/>
        <v>0</v>
      </c>
      <c r="L124" s="13" t="s">
        <v>1096</v>
      </c>
      <c r="M124" s="13" t="s">
        <v>26</v>
      </c>
      <c r="N124" s="13" t="s">
        <v>461</v>
      </c>
      <c r="O124" s="15">
        <f>总览!$C$5+3</f>
        <v>46218</v>
      </c>
      <c r="P124" s="15"/>
      <c r="Q124" s="12"/>
      <c r="R124" s="12"/>
      <c r="S124" s="12"/>
    </row>
    <row r="125" spans="1:19" ht="23.25">
      <c r="A125" s="13" t="s">
        <v>1125</v>
      </c>
      <c r="B125" s="13" t="s">
        <v>1090</v>
      </c>
      <c r="C125" s="13" t="s">
        <v>1126</v>
      </c>
      <c r="D125" s="13" t="s">
        <v>1127</v>
      </c>
      <c r="E125" s="12" t="s">
        <v>1093</v>
      </c>
      <c r="F125" s="12" t="s">
        <v>1128</v>
      </c>
      <c r="G125" s="12" t="s">
        <v>1129</v>
      </c>
      <c r="H125" s="13" t="s">
        <v>52</v>
      </c>
      <c r="I125" s="13" t="s">
        <v>460</v>
      </c>
      <c r="J125" s="13" t="s">
        <v>69</v>
      </c>
      <c r="K125" s="17">
        <f t="shared" si="3"/>
        <v>0</v>
      </c>
      <c r="L125" s="13" t="s">
        <v>1096</v>
      </c>
      <c r="M125" s="13" t="s">
        <v>26</v>
      </c>
      <c r="N125" s="13" t="s">
        <v>461</v>
      </c>
      <c r="O125" s="15">
        <f>总览!$C$5+3</f>
        <v>46218</v>
      </c>
      <c r="P125" s="15"/>
      <c r="Q125" s="12"/>
      <c r="R125" s="12"/>
      <c r="S125" s="12"/>
    </row>
    <row r="126" spans="1:19" ht="23.25">
      <c r="A126" s="13" t="s">
        <v>1130</v>
      </c>
      <c r="B126" s="13" t="s">
        <v>1131</v>
      </c>
      <c r="C126" s="13" t="s">
        <v>1132</v>
      </c>
      <c r="D126" s="13" t="s">
        <v>1133</v>
      </c>
      <c r="E126" s="12" t="s">
        <v>1134</v>
      </c>
      <c r="F126" s="12" t="s">
        <v>1135</v>
      </c>
      <c r="G126" s="12" t="s">
        <v>1136</v>
      </c>
      <c r="H126" s="13" t="s">
        <v>76</v>
      </c>
      <c r="I126" s="13" t="s">
        <v>540</v>
      </c>
      <c r="J126" s="13" t="s">
        <v>69</v>
      </c>
      <c r="K126" s="17">
        <f t="shared" si="3"/>
        <v>0</v>
      </c>
      <c r="L126" s="13" t="s">
        <v>1137</v>
      </c>
      <c r="M126" s="13" t="s">
        <v>28</v>
      </c>
      <c r="N126" s="13" t="s">
        <v>461</v>
      </c>
      <c r="O126" s="15">
        <f>总览!$C$5+4</f>
        <v>46219</v>
      </c>
      <c r="P126" s="15"/>
      <c r="Q126" s="12"/>
      <c r="R126" s="12"/>
      <c r="S126" s="12"/>
    </row>
    <row r="127" spans="1:19">
      <c r="A127" s="13" t="s">
        <v>1138</v>
      </c>
      <c r="B127" s="13" t="s">
        <v>1131</v>
      </c>
      <c r="C127" s="13" t="s">
        <v>1139</v>
      </c>
      <c r="D127" s="13" t="s">
        <v>1140</v>
      </c>
      <c r="E127" s="12" t="s">
        <v>1134</v>
      </c>
      <c r="F127" s="12" t="s">
        <v>1141</v>
      </c>
      <c r="G127" s="12" t="s">
        <v>1136</v>
      </c>
      <c r="H127" s="13" t="s">
        <v>76</v>
      </c>
      <c r="I127" s="13" t="s">
        <v>540</v>
      </c>
      <c r="J127" s="13" t="s">
        <v>69</v>
      </c>
      <c r="K127" s="17">
        <f t="shared" si="3"/>
        <v>0</v>
      </c>
      <c r="L127" s="13" t="s">
        <v>1137</v>
      </c>
      <c r="M127" s="13" t="s">
        <v>28</v>
      </c>
      <c r="N127" s="13" t="s">
        <v>461</v>
      </c>
      <c r="O127" s="15">
        <f>总览!$C$5+4</f>
        <v>46219</v>
      </c>
      <c r="P127" s="15"/>
      <c r="Q127" s="12"/>
      <c r="R127" s="12"/>
      <c r="S127" s="12"/>
    </row>
    <row r="128" spans="1:19">
      <c r="A128" s="13" t="s">
        <v>1142</v>
      </c>
      <c r="B128" s="13" t="s">
        <v>1131</v>
      </c>
      <c r="C128" s="13" t="s">
        <v>1143</v>
      </c>
      <c r="D128" s="13" t="s">
        <v>1144</v>
      </c>
      <c r="E128" s="12" t="s">
        <v>1134</v>
      </c>
      <c r="F128" s="12" t="s">
        <v>1145</v>
      </c>
      <c r="G128" s="12" t="s">
        <v>1146</v>
      </c>
      <c r="H128" s="13" t="s">
        <v>52</v>
      </c>
      <c r="I128" s="13" t="s">
        <v>460</v>
      </c>
      <c r="J128" s="13" t="s">
        <v>69</v>
      </c>
      <c r="K128" s="17">
        <f t="shared" si="3"/>
        <v>0</v>
      </c>
      <c r="L128" s="13" t="s">
        <v>1137</v>
      </c>
      <c r="M128" s="13" t="s">
        <v>28</v>
      </c>
      <c r="N128" s="13" t="s">
        <v>461</v>
      </c>
      <c r="O128" s="15">
        <f>总览!$C$5+4</f>
        <v>46219</v>
      </c>
      <c r="P128" s="15"/>
      <c r="Q128" s="12"/>
      <c r="R128" s="12"/>
      <c r="S128" s="12"/>
    </row>
    <row r="129" spans="1:19">
      <c r="A129" s="13" t="s">
        <v>1147</v>
      </c>
      <c r="B129" s="13" t="s">
        <v>1131</v>
      </c>
      <c r="C129" s="13" t="s">
        <v>1148</v>
      </c>
      <c r="D129" s="13" t="s">
        <v>1149</v>
      </c>
      <c r="E129" s="12" t="s">
        <v>1134</v>
      </c>
      <c r="F129" s="12" t="s">
        <v>1150</v>
      </c>
      <c r="G129" s="12" t="s">
        <v>1151</v>
      </c>
      <c r="H129" s="13" t="s">
        <v>76</v>
      </c>
      <c r="I129" s="13" t="s">
        <v>540</v>
      </c>
      <c r="J129" s="13" t="s">
        <v>69</v>
      </c>
      <c r="K129" s="17">
        <f t="shared" si="3"/>
        <v>0</v>
      </c>
      <c r="L129" s="13" t="s">
        <v>1137</v>
      </c>
      <c r="M129" s="13" t="s">
        <v>28</v>
      </c>
      <c r="N129" s="13" t="s">
        <v>461</v>
      </c>
      <c r="O129" s="15">
        <f>总览!$C$5+4</f>
        <v>46219</v>
      </c>
      <c r="P129" s="15"/>
      <c r="Q129" s="12"/>
      <c r="R129" s="12"/>
      <c r="S129" s="12"/>
    </row>
    <row r="130" spans="1:19" ht="23.25">
      <c r="A130" s="13" t="s">
        <v>1152</v>
      </c>
      <c r="B130" s="13" t="s">
        <v>1131</v>
      </c>
      <c r="C130" s="13" t="s">
        <v>1153</v>
      </c>
      <c r="D130" s="13" t="s">
        <v>1154</v>
      </c>
      <c r="E130" s="12" t="s">
        <v>1134</v>
      </c>
      <c r="F130" s="12" t="s">
        <v>1155</v>
      </c>
      <c r="G130" s="12" t="s">
        <v>1151</v>
      </c>
      <c r="H130" s="13" t="s">
        <v>76</v>
      </c>
      <c r="I130" s="13" t="s">
        <v>540</v>
      </c>
      <c r="J130" s="13" t="s">
        <v>69</v>
      </c>
      <c r="K130" s="17">
        <f t="shared" si="3"/>
        <v>0</v>
      </c>
      <c r="L130" s="13" t="s">
        <v>1137</v>
      </c>
      <c r="M130" s="13" t="s">
        <v>28</v>
      </c>
      <c r="N130" s="13" t="s">
        <v>461</v>
      </c>
      <c r="O130" s="15">
        <f>总览!$C$5+4</f>
        <v>46219</v>
      </c>
      <c r="P130" s="15"/>
      <c r="Q130" s="12"/>
      <c r="R130" s="12"/>
      <c r="S130" s="12"/>
    </row>
    <row r="131" spans="1:19" ht="23.25">
      <c r="A131" s="13" t="s">
        <v>1156</v>
      </c>
      <c r="B131" s="13" t="s">
        <v>1131</v>
      </c>
      <c r="C131" s="13" t="s">
        <v>1157</v>
      </c>
      <c r="D131" s="13" t="s">
        <v>1158</v>
      </c>
      <c r="E131" s="12" t="s">
        <v>1134</v>
      </c>
      <c r="F131" s="12" t="s">
        <v>1159</v>
      </c>
      <c r="G131" s="12" t="s">
        <v>1160</v>
      </c>
      <c r="H131" s="13" t="s">
        <v>76</v>
      </c>
      <c r="I131" s="13" t="s">
        <v>540</v>
      </c>
      <c r="J131" s="13" t="s">
        <v>69</v>
      </c>
      <c r="K131" s="17">
        <f t="shared" si="3"/>
        <v>0</v>
      </c>
      <c r="L131" s="13" t="s">
        <v>1137</v>
      </c>
      <c r="M131" s="13" t="s">
        <v>28</v>
      </c>
      <c r="N131" s="13" t="s">
        <v>461</v>
      </c>
      <c r="O131" s="15">
        <f>总览!$C$5+4</f>
        <v>46219</v>
      </c>
      <c r="P131" s="15"/>
      <c r="Q131" s="12"/>
      <c r="R131" s="12"/>
      <c r="S131" s="12"/>
    </row>
    <row r="132" spans="1:19">
      <c r="A132" s="13" t="s">
        <v>1161</v>
      </c>
      <c r="B132" s="13" t="s">
        <v>1131</v>
      </c>
      <c r="C132" s="13" t="s">
        <v>1162</v>
      </c>
      <c r="D132" s="13" t="s">
        <v>1163</v>
      </c>
      <c r="E132" s="12" t="s">
        <v>1134</v>
      </c>
      <c r="F132" s="12" t="s">
        <v>1164</v>
      </c>
      <c r="G132" s="12" t="s">
        <v>566</v>
      </c>
      <c r="H132" s="13" t="s">
        <v>52</v>
      </c>
      <c r="I132" s="13" t="s">
        <v>460</v>
      </c>
      <c r="J132" s="13" t="s">
        <v>69</v>
      </c>
      <c r="K132" s="17">
        <f t="shared" si="3"/>
        <v>0</v>
      </c>
      <c r="L132" s="13" t="s">
        <v>1137</v>
      </c>
      <c r="M132" s="13" t="s">
        <v>28</v>
      </c>
      <c r="N132" s="13" t="s">
        <v>461</v>
      </c>
      <c r="O132" s="15">
        <f>总览!$C$5+4</f>
        <v>46219</v>
      </c>
      <c r="P132" s="15"/>
      <c r="Q132" s="12"/>
      <c r="R132" s="12"/>
      <c r="S132" s="12"/>
    </row>
    <row r="133" spans="1:19">
      <c r="A133" s="13" t="s">
        <v>1165</v>
      </c>
      <c r="B133" s="13" t="s">
        <v>1131</v>
      </c>
      <c r="C133" s="13" t="s">
        <v>1166</v>
      </c>
      <c r="D133" s="13" t="s">
        <v>1167</v>
      </c>
      <c r="E133" s="12" t="s">
        <v>1134</v>
      </c>
      <c r="F133" s="12" t="s">
        <v>1168</v>
      </c>
      <c r="G133" s="12" t="s">
        <v>566</v>
      </c>
      <c r="H133" s="13" t="s">
        <v>76</v>
      </c>
      <c r="I133" s="13" t="s">
        <v>540</v>
      </c>
      <c r="J133" s="13" t="s">
        <v>69</v>
      </c>
      <c r="K133" s="17">
        <f t="shared" ref="K133:K145" si="4">IF(J133="不适用","",IF(J133="已完成",1,IF(J133="待审核",0.9,IF(J133="进行中",0.5,IF(J133="已阻塞",0.25,0)))))</f>
        <v>0</v>
      </c>
      <c r="L133" s="13" t="s">
        <v>1137</v>
      </c>
      <c r="M133" s="13" t="s">
        <v>28</v>
      </c>
      <c r="N133" s="13" t="s">
        <v>461</v>
      </c>
      <c r="O133" s="15">
        <f>总览!$C$5+4</f>
        <v>46219</v>
      </c>
      <c r="P133" s="15"/>
      <c r="Q133" s="12"/>
      <c r="R133" s="12"/>
      <c r="S133" s="12"/>
    </row>
    <row r="134" spans="1:19" ht="23.25">
      <c r="A134" s="13" t="s">
        <v>1169</v>
      </c>
      <c r="B134" s="13" t="s">
        <v>1131</v>
      </c>
      <c r="C134" s="13" t="s">
        <v>1170</v>
      </c>
      <c r="D134" s="13" t="s">
        <v>1171</v>
      </c>
      <c r="E134" s="12" t="s">
        <v>1134</v>
      </c>
      <c r="F134" s="12" t="s">
        <v>1172</v>
      </c>
      <c r="G134" s="12" t="s">
        <v>1032</v>
      </c>
      <c r="H134" s="13" t="s">
        <v>52</v>
      </c>
      <c r="I134" s="13" t="s">
        <v>460</v>
      </c>
      <c r="J134" s="13" t="s">
        <v>69</v>
      </c>
      <c r="K134" s="17">
        <f t="shared" si="4"/>
        <v>0</v>
      </c>
      <c r="L134" s="13" t="s">
        <v>1137</v>
      </c>
      <c r="M134" s="13" t="s">
        <v>28</v>
      </c>
      <c r="N134" s="13" t="s">
        <v>461</v>
      </c>
      <c r="O134" s="15">
        <f>总览!$C$5+4</f>
        <v>46219</v>
      </c>
      <c r="P134" s="15"/>
      <c r="Q134" s="12"/>
      <c r="R134" s="12"/>
      <c r="S134" s="12"/>
    </row>
    <row r="135" spans="1:19">
      <c r="A135" s="13" t="s">
        <v>1173</v>
      </c>
      <c r="B135" s="13" t="s">
        <v>1131</v>
      </c>
      <c r="C135" s="13" t="s">
        <v>1174</v>
      </c>
      <c r="D135" s="13" t="s">
        <v>1175</v>
      </c>
      <c r="E135" s="12" t="s">
        <v>1134</v>
      </c>
      <c r="F135" s="12" t="s">
        <v>1176</v>
      </c>
      <c r="G135" s="12" t="s">
        <v>1177</v>
      </c>
      <c r="H135" s="13" t="s">
        <v>76</v>
      </c>
      <c r="I135" s="13" t="s">
        <v>540</v>
      </c>
      <c r="J135" s="13" t="s">
        <v>69</v>
      </c>
      <c r="K135" s="17">
        <f t="shared" si="4"/>
        <v>0</v>
      </c>
      <c r="L135" s="13" t="s">
        <v>1137</v>
      </c>
      <c r="M135" s="13" t="s">
        <v>28</v>
      </c>
      <c r="N135" s="13" t="s">
        <v>461</v>
      </c>
      <c r="O135" s="15">
        <f>总览!$C$5+4</f>
        <v>46219</v>
      </c>
      <c r="P135" s="15"/>
      <c r="Q135" s="12"/>
      <c r="R135" s="12"/>
      <c r="S135" s="12"/>
    </row>
    <row r="136" spans="1:19" ht="23.25">
      <c r="A136" s="13" t="s">
        <v>1178</v>
      </c>
      <c r="B136" s="13" t="s">
        <v>1179</v>
      </c>
      <c r="C136" s="13" t="s">
        <v>1180</v>
      </c>
      <c r="D136" s="13" t="s">
        <v>1181</v>
      </c>
      <c r="E136" s="12" t="s">
        <v>1182</v>
      </c>
      <c r="F136" s="12" t="s">
        <v>1183</v>
      </c>
      <c r="G136" s="12" t="s">
        <v>1184</v>
      </c>
      <c r="H136" s="13" t="s">
        <v>52</v>
      </c>
      <c r="I136" s="13" t="s">
        <v>460</v>
      </c>
      <c r="J136" s="13" t="s">
        <v>69</v>
      </c>
      <c r="K136" s="17">
        <f t="shared" si="4"/>
        <v>0</v>
      </c>
      <c r="L136" s="13" t="s">
        <v>1185</v>
      </c>
      <c r="M136" s="13" t="s">
        <v>30</v>
      </c>
      <c r="N136" s="13" t="s">
        <v>461</v>
      </c>
      <c r="O136" s="15">
        <f>总览!$C$5+5</f>
        <v>46220</v>
      </c>
      <c r="P136" s="15"/>
      <c r="Q136" s="12"/>
      <c r="R136" s="12"/>
      <c r="S136" s="12"/>
    </row>
    <row r="137" spans="1:19" ht="23.25">
      <c r="A137" s="13" t="s">
        <v>1186</v>
      </c>
      <c r="B137" s="13" t="s">
        <v>1179</v>
      </c>
      <c r="C137" s="13" t="s">
        <v>1187</v>
      </c>
      <c r="D137" s="13" t="s">
        <v>1188</v>
      </c>
      <c r="E137" s="12" t="s">
        <v>1182</v>
      </c>
      <c r="F137" s="12" t="s">
        <v>1189</v>
      </c>
      <c r="G137" s="12" t="s">
        <v>763</v>
      </c>
      <c r="H137" s="13" t="s">
        <v>52</v>
      </c>
      <c r="I137" s="13" t="s">
        <v>460</v>
      </c>
      <c r="J137" s="13" t="s">
        <v>69</v>
      </c>
      <c r="K137" s="17">
        <f t="shared" si="4"/>
        <v>0</v>
      </c>
      <c r="L137" s="13" t="s">
        <v>1185</v>
      </c>
      <c r="M137" s="13" t="s">
        <v>30</v>
      </c>
      <c r="N137" s="13" t="s">
        <v>461</v>
      </c>
      <c r="O137" s="15">
        <f>总览!$C$5+5</f>
        <v>46220</v>
      </c>
      <c r="P137" s="15"/>
      <c r="Q137" s="12"/>
      <c r="R137" s="12"/>
      <c r="S137" s="12"/>
    </row>
    <row r="138" spans="1:19" ht="23.25">
      <c r="A138" s="13" t="s">
        <v>1190</v>
      </c>
      <c r="B138" s="13" t="s">
        <v>1179</v>
      </c>
      <c r="C138" s="13" t="s">
        <v>1191</v>
      </c>
      <c r="D138" s="13" t="s">
        <v>1192</v>
      </c>
      <c r="E138" s="12" t="s">
        <v>1182</v>
      </c>
      <c r="F138" s="12" t="s">
        <v>1193</v>
      </c>
      <c r="G138" s="12" t="s">
        <v>1194</v>
      </c>
      <c r="H138" s="13" t="s">
        <v>52</v>
      </c>
      <c r="I138" s="13" t="s">
        <v>460</v>
      </c>
      <c r="J138" s="13" t="s">
        <v>69</v>
      </c>
      <c r="K138" s="17">
        <f t="shared" si="4"/>
        <v>0</v>
      </c>
      <c r="L138" s="13" t="s">
        <v>1185</v>
      </c>
      <c r="M138" s="13" t="s">
        <v>30</v>
      </c>
      <c r="N138" s="13" t="s">
        <v>461</v>
      </c>
      <c r="O138" s="15">
        <f>总览!$C$5+5</f>
        <v>46220</v>
      </c>
      <c r="P138" s="15"/>
      <c r="Q138" s="12"/>
      <c r="R138" s="12"/>
      <c r="S138" s="12"/>
    </row>
    <row r="139" spans="1:19" ht="23.25">
      <c r="A139" s="13" t="s">
        <v>1195</v>
      </c>
      <c r="B139" s="13" t="s">
        <v>1179</v>
      </c>
      <c r="C139" s="13" t="s">
        <v>1196</v>
      </c>
      <c r="D139" s="13" t="s">
        <v>1197</v>
      </c>
      <c r="E139" s="12" t="s">
        <v>1182</v>
      </c>
      <c r="F139" s="12" t="s">
        <v>1198</v>
      </c>
      <c r="G139" s="12" t="s">
        <v>1184</v>
      </c>
      <c r="H139" s="13" t="s">
        <v>52</v>
      </c>
      <c r="I139" s="13" t="s">
        <v>460</v>
      </c>
      <c r="J139" s="13" t="s">
        <v>69</v>
      </c>
      <c r="K139" s="17">
        <f t="shared" si="4"/>
        <v>0</v>
      </c>
      <c r="L139" s="13" t="s">
        <v>1185</v>
      </c>
      <c r="M139" s="13" t="s">
        <v>30</v>
      </c>
      <c r="N139" s="13" t="s">
        <v>461</v>
      </c>
      <c r="O139" s="15">
        <f>总览!$C$5+5</f>
        <v>46220</v>
      </c>
      <c r="P139" s="15"/>
      <c r="Q139" s="12"/>
      <c r="R139" s="12"/>
      <c r="S139" s="12"/>
    </row>
    <row r="140" spans="1:19" ht="23.25">
      <c r="A140" s="13" t="s">
        <v>1199</v>
      </c>
      <c r="B140" s="13" t="s">
        <v>1179</v>
      </c>
      <c r="C140" s="13" t="s">
        <v>1200</v>
      </c>
      <c r="D140" s="13" t="s">
        <v>1201</v>
      </c>
      <c r="E140" s="12" t="s">
        <v>1182</v>
      </c>
      <c r="F140" s="12" t="s">
        <v>1202</v>
      </c>
      <c r="G140" s="12" t="s">
        <v>504</v>
      </c>
      <c r="H140" s="13" t="s">
        <v>52</v>
      </c>
      <c r="I140" s="13" t="s">
        <v>460</v>
      </c>
      <c r="J140" s="13" t="s">
        <v>69</v>
      </c>
      <c r="K140" s="17">
        <f t="shared" si="4"/>
        <v>0</v>
      </c>
      <c r="L140" s="13" t="s">
        <v>1185</v>
      </c>
      <c r="M140" s="13" t="s">
        <v>30</v>
      </c>
      <c r="N140" s="13" t="s">
        <v>461</v>
      </c>
      <c r="O140" s="15">
        <f>总览!$C$5+5</f>
        <v>46220</v>
      </c>
      <c r="P140" s="15"/>
      <c r="Q140" s="12"/>
      <c r="R140" s="12"/>
      <c r="S140" s="12"/>
    </row>
    <row r="141" spans="1:19" ht="23.25">
      <c r="A141" s="13" t="s">
        <v>1203</v>
      </c>
      <c r="B141" s="13" t="s">
        <v>1179</v>
      </c>
      <c r="C141" s="13" t="s">
        <v>1204</v>
      </c>
      <c r="D141" s="13" t="s">
        <v>1205</v>
      </c>
      <c r="E141" s="12" t="s">
        <v>1182</v>
      </c>
      <c r="F141" s="12" t="s">
        <v>1206</v>
      </c>
      <c r="G141" s="12" t="s">
        <v>504</v>
      </c>
      <c r="H141" s="13" t="s">
        <v>52</v>
      </c>
      <c r="I141" s="13" t="s">
        <v>460</v>
      </c>
      <c r="J141" s="13" t="s">
        <v>69</v>
      </c>
      <c r="K141" s="17">
        <f t="shared" si="4"/>
        <v>0</v>
      </c>
      <c r="L141" s="13" t="s">
        <v>1185</v>
      </c>
      <c r="M141" s="13" t="s">
        <v>32</v>
      </c>
      <c r="N141" s="13" t="s">
        <v>461</v>
      </c>
      <c r="O141" s="15">
        <f>总览!$C$5+6</f>
        <v>46221</v>
      </c>
      <c r="P141" s="15"/>
      <c r="Q141" s="12"/>
      <c r="R141" s="12"/>
      <c r="S141" s="12"/>
    </row>
    <row r="142" spans="1:19" ht="23.25">
      <c r="A142" s="13" t="s">
        <v>1207</v>
      </c>
      <c r="B142" s="13" t="s">
        <v>1179</v>
      </c>
      <c r="C142" s="13" t="s">
        <v>1208</v>
      </c>
      <c r="D142" s="13" t="s">
        <v>1209</v>
      </c>
      <c r="E142" s="12" t="s">
        <v>1182</v>
      </c>
      <c r="F142" s="12" t="s">
        <v>1210</v>
      </c>
      <c r="G142" s="12" t="s">
        <v>763</v>
      </c>
      <c r="H142" s="13" t="s">
        <v>52</v>
      </c>
      <c r="I142" s="13" t="s">
        <v>460</v>
      </c>
      <c r="J142" s="13" t="s">
        <v>69</v>
      </c>
      <c r="K142" s="17">
        <f t="shared" si="4"/>
        <v>0</v>
      </c>
      <c r="L142" s="13" t="s">
        <v>1185</v>
      </c>
      <c r="M142" s="13" t="s">
        <v>30</v>
      </c>
      <c r="N142" s="13" t="s">
        <v>461</v>
      </c>
      <c r="O142" s="15">
        <f>总览!$C$5+5</f>
        <v>46220</v>
      </c>
      <c r="P142" s="15"/>
      <c r="Q142" s="12"/>
      <c r="R142" s="12"/>
      <c r="S142" s="12"/>
    </row>
    <row r="143" spans="1:19" ht="23.25">
      <c r="A143" s="13" t="s">
        <v>1211</v>
      </c>
      <c r="B143" s="13" t="s">
        <v>1179</v>
      </c>
      <c r="C143" s="13" t="s">
        <v>1212</v>
      </c>
      <c r="D143" s="13" t="s">
        <v>1213</v>
      </c>
      <c r="E143" s="12" t="s">
        <v>1182</v>
      </c>
      <c r="F143" s="12" t="s">
        <v>1214</v>
      </c>
      <c r="G143" s="12" t="s">
        <v>694</v>
      </c>
      <c r="H143" s="13" t="s">
        <v>52</v>
      </c>
      <c r="I143" s="13" t="s">
        <v>460</v>
      </c>
      <c r="J143" s="13" t="s">
        <v>69</v>
      </c>
      <c r="K143" s="17">
        <f t="shared" si="4"/>
        <v>0</v>
      </c>
      <c r="L143" s="13" t="s">
        <v>1185</v>
      </c>
      <c r="M143" s="13" t="s">
        <v>30</v>
      </c>
      <c r="N143" s="13" t="s">
        <v>461</v>
      </c>
      <c r="O143" s="15">
        <f>总览!$C$5+5</f>
        <v>46220</v>
      </c>
      <c r="P143" s="15"/>
      <c r="Q143" s="12"/>
      <c r="R143" s="12"/>
      <c r="S143" s="12"/>
    </row>
    <row r="144" spans="1:19" ht="23.25">
      <c r="A144" s="13" t="s">
        <v>1215</v>
      </c>
      <c r="B144" s="13" t="s">
        <v>1179</v>
      </c>
      <c r="C144" s="13" t="s">
        <v>1216</v>
      </c>
      <c r="D144" s="13" t="s">
        <v>1217</v>
      </c>
      <c r="E144" s="12" t="s">
        <v>1182</v>
      </c>
      <c r="F144" s="12" t="s">
        <v>1218</v>
      </c>
      <c r="G144" s="12" t="s">
        <v>1219</v>
      </c>
      <c r="H144" s="13" t="s">
        <v>52</v>
      </c>
      <c r="I144" s="13" t="s">
        <v>460</v>
      </c>
      <c r="J144" s="13" t="s">
        <v>69</v>
      </c>
      <c r="K144" s="17">
        <f t="shared" si="4"/>
        <v>0</v>
      </c>
      <c r="L144" s="13" t="s">
        <v>1185</v>
      </c>
      <c r="M144" s="13" t="s">
        <v>30</v>
      </c>
      <c r="N144" s="13" t="s">
        <v>461</v>
      </c>
      <c r="O144" s="15">
        <f>总览!$C$5+5</f>
        <v>46220</v>
      </c>
      <c r="P144" s="15"/>
      <c r="Q144" s="12"/>
      <c r="R144" s="12"/>
      <c r="S144" s="12"/>
    </row>
    <row r="145" spans="1:19" ht="23.25">
      <c r="A145" s="13" t="s">
        <v>1220</v>
      </c>
      <c r="B145" s="13" t="s">
        <v>1179</v>
      </c>
      <c r="C145" s="13" t="s">
        <v>1221</v>
      </c>
      <c r="D145" s="13" t="s">
        <v>1222</v>
      </c>
      <c r="E145" s="12" t="s">
        <v>1182</v>
      </c>
      <c r="F145" s="12" t="s">
        <v>1223</v>
      </c>
      <c r="G145" s="12" t="s">
        <v>1224</v>
      </c>
      <c r="H145" s="13" t="s">
        <v>52</v>
      </c>
      <c r="I145" s="13" t="s">
        <v>460</v>
      </c>
      <c r="J145" s="13" t="s">
        <v>69</v>
      </c>
      <c r="K145" s="17">
        <f t="shared" si="4"/>
        <v>0</v>
      </c>
      <c r="L145" s="13" t="s">
        <v>1185</v>
      </c>
      <c r="M145" s="13" t="s">
        <v>32</v>
      </c>
      <c r="N145" s="13" t="s">
        <v>461</v>
      </c>
      <c r="O145" s="15">
        <f>总览!$C$5+6</f>
        <v>46221</v>
      </c>
      <c r="P145" s="15"/>
      <c r="Q145" s="12"/>
      <c r="R145" s="12"/>
      <c r="S145" s="12"/>
    </row>
  </sheetData>
  <mergeCells count="2">
    <mergeCell ref="A1:S1"/>
    <mergeCell ref="A3:S3"/>
  </mergeCells>
  <phoneticPr fontId="22" type="noConversion"/>
  <conditionalFormatting sqref="H5:H145">
    <cfRule type="expression" dxfId="39" priority="1">
      <formula>H5="P0"</formula>
    </cfRule>
    <cfRule type="expression" dxfId="38" priority="2">
      <formula>H5="P1"</formula>
    </cfRule>
    <cfRule type="expression" dxfId="37" priority="3">
      <formula>H5="P2"</formula>
    </cfRule>
  </conditionalFormatting>
  <conditionalFormatting sqref="J5:J145">
    <cfRule type="expression" dxfId="36" priority="4">
      <formula>J5="已完成"</formula>
    </cfRule>
    <cfRule type="expression" dxfId="35" priority="5">
      <formula>J5="进行中"</formula>
    </cfRule>
    <cfRule type="expression" dxfId="34" priority="6">
      <formula>J5="待审核"</formula>
    </cfRule>
    <cfRule type="expression" dxfId="33" priority="7">
      <formula>J5="已阻塞"</formula>
    </cfRule>
    <cfRule type="expression" dxfId="32" priority="8">
      <formula>J5="待确认"</formula>
    </cfRule>
    <cfRule type="expression" dxfId="31" priority="9">
      <formula>J5="未开始"</formula>
    </cfRule>
  </conditionalFormatting>
  <conditionalFormatting sqref="K5:K145">
    <cfRule type="dataBar" priority="10">
      <dataBar>
        <cfvo type="min"/>
        <cfvo type="max"/>
        <color rgb="FF7C3AED"/>
      </dataBar>
    </cfRule>
    <cfRule type="dataBar" priority="11">
      <dataBar>
        <cfvo type="min"/>
        <cfvo type="max"/>
        <color rgb="FF7C3AED"/>
      </dataBar>
    </cfRule>
    <cfRule type="dataBar" priority="12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{B86C2137-57B5-2737-42F2-7F6F561E5719}</x14:id>
        </ext>
      </extLst>
    </cfRule>
  </conditionalFormatting>
  <dataValidations count="3">
    <dataValidation type="list" sqref="H5:H145" xr:uid="{00000000-0002-0000-0400-000000000000}">
      <formula1>"P0,P1,P2"</formula1>
    </dataValidation>
    <dataValidation type="list" sqref="I5:I145" xr:uid="{00000000-0002-0000-0400-000001000000}">
      <formula1>"是,否"</formula1>
    </dataValidation>
    <dataValidation type="list" sqref="J5:J145" xr:uid="{00000000-0002-0000-0400-000002000000}">
      <formula1>"未开始,待确认,进行中,待审核,已完成,已阻塞,不适用"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6C2137-57B5-2737-42F2-7F6F561E5719}">
            <x14:dataBar>
              <x14:cfvo type="min"/>
              <x14:cfvo type="max"/>
              <x14:negativeFillColor auto="1"/>
              <x14:axisColor auto="1"/>
            </x14:dataBar>
          </x14:cfRule>
          <xm:sqref>K5:K145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1"/>
  <sheetViews>
    <sheetView workbookViewId="0">
      <selection sqref="A1:R1"/>
    </sheetView>
  </sheetViews>
  <sheetFormatPr defaultRowHeight="13.5"/>
  <cols>
    <col min="1" max="1" width="12" customWidth="1"/>
    <col min="2" max="2" width="14" customWidth="1"/>
    <col min="3" max="3" width="18" customWidth="1"/>
    <col min="4" max="4" width="28" customWidth="1"/>
    <col min="5" max="6" width="24" customWidth="1"/>
    <col min="7" max="7" width="42" customWidth="1"/>
    <col min="8" max="8" width="9" customWidth="1"/>
    <col min="9" max="9" width="10" customWidth="1"/>
    <col min="10" max="10" width="11" customWidth="1"/>
    <col min="11" max="11" width="10" customWidth="1"/>
    <col min="12" max="12" width="20" customWidth="1"/>
    <col min="13" max="13" width="11" customWidth="1"/>
    <col min="14" max="16" width="12" customWidth="1"/>
    <col min="17" max="17" width="14" customWidth="1"/>
    <col min="18" max="18" width="28" customWidth="1"/>
  </cols>
  <sheetData>
    <row r="1" spans="1:18" ht="8.5500000000000007" customHeight="1">
      <c r="A1" s="44" t="s">
        <v>1225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3" spans="1:18" ht="7.05" customHeight="1">
      <c r="A3" s="45" t="s">
        <v>1226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 ht="7.5" customHeight="1">
      <c r="A4" s="22" t="s">
        <v>1227</v>
      </c>
      <c r="B4" s="22" t="s">
        <v>1228</v>
      </c>
      <c r="C4" s="22" t="s">
        <v>443</v>
      </c>
      <c r="D4" s="22" t="s">
        <v>1229</v>
      </c>
      <c r="E4" s="22" t="s">
        <v>1230</v>
      </c>
      <c r="F4" s="22" t="s">
        <v>1231</v>
      </c>
      <c r="G4" s="22" t="s">
        <v>1232</v>
      </c>
      <c r="H4" s="22" t="s">
        <v>40</v>
      </c>
      <c r="I4" s="22" t="s">
        <v>449</v>
      </c>
      <c r="J4" s="22" t="s">
        <v>41</v>
      </c>
      <c r="K4" s="22" t="s">
        <v>1233</v>
      </c>
      <c r="L4" s="22" t="s">
        <v>1234</v>
      </c>
      <c r="M4" s="22" t="s">
        <v>1235</v>
      </c>
      <c r="N4" s="22" t="s">
        <v>44</v>
      </c>
      <c r="O4" s="22" t="s">
        <v>1236</v>
      </c>
      <c r="P4" s="22" t="s">
        <v>1237</v>
      </c>
      <c r="Q4" s="22" t="s">
        <v>1238</v>
      </c>
      <c r="R4" s="22" t="s">
        <v>1239</v>
      </c>
    </row>
    <row r="5" spans="1:18">
      <c r="A5" s="13" t="s">
        <v>1240</v>
      </c>
      <c r="B5" s="13" t="s">
        <v>1241</v>
      </c>
      <c r="C5" s="13" t="s">
        <v>1242</v>
      </c>
      <c r="D5" s="12" t="s">
        <v>1243</v>
      </c>
      <c r="E5" s="12" t="s">
        <v>1244</v>
      </c>
      <c r="F5" s="12" t="s">
        <v>1245</v>
      </c>
      <c r="G5" s="12" t="s">
        <v>1246</v>
      </c>
      <c r="H5" s="13" t="s">
        <v>52</v>
      </c>
      <c r="I5" s="13" t="s">
        <v>460</v>
      </c>
      <c r="J5" s="13" t="s">
        <v>1247</v>
      </c>
      <c r="K5" s="13" t="s">
        <v>1248</v>
      </c>
      <c r="L5" s="13" t="s">
        <v>1249</v>
      </c>
      <c r="M5" s="13" t="s">
        <v>28</v>
      </c>
      <c r="N5" s="13" t="s">
        <v>220</v>
      </c>
      <c r="O5" s="15">
        <f>总览!$C$5+4</f>
        <v>46219</v>
      </c>
      <c r="P5" s="15"/>
      <c r="Q5" s="12"/>
      <c r="R5" s="12"/>
    </row>
    <row r="6" spans="1:18">
      <c r="A6" s="13" t="s">
        <v>1250</v>
      </c>
      <c r="B6" s="13" t="s">
        <v>1241</v>
      </c>
      <c r="C6" s="13" t="s">
        <v>1242</v>
      </c>
      <c r="D6" s="12" t="s">
        <v>1251</v>
      </c>
      <c r="E6" s="12" t="s">
        <v>1252</v>
      </c>
      <c r="F6" s="12" t="s">
        <v>1253</v>
      </c>
      <c r="G6" s="12" t="s">
        <v>1254</v>
      </c>
      <c r="H6" s="13" t="s">
        <v>52</v>
      </c>
      <c r="I6" s="13" t="s">
        <v>460</v>
      </c>
      <c r="J6" s="13" t="s">
        <v>1247</v>
      </c>
      <c r="K6" s="13" t="s">
        <v>1248</v>
      </c>
      <c r="L6" s="13" t="s">
        <v>1249</v>
      </c>
      <c r="M6" s="13" t="s">
        <v>28</v>
      </c>
      <c r="N6" s="13" t="s">
        <v>220</v>
      </c>
      <c r="O6" s="15">
        <f>总览!$C$5+4</f>
        <v>46219</v>
      </c>
      <c r="P6" s="15"/>
      <c r="Q6" s="12"/>
      <c r="R6" s="12"/>
    </row>
    <row r="7" spans="1:18">
      <c r="A7" s="13" t="s">
        <v>1255</v>
      </c>
      <c r="B7" s="13" t="s">
        <v>1241</v>
      </c>
      <c r="C7" s="13" t="s">
        <v>1242</v>
      </c>
      <c r="D7" s="12" t="s">
        <v>1256</v>
      </c>
      <c r="E7" s="12" t="s">
        <v>1257</v>
      </c>
      <c r="F7" s="12" t="s">
        <v>1258</v>
      </c>
      <c r="G7" s="12" t="s">
        <v>1259</v>
      </c>
      <c r="H7" s="13" t="s">
        <v>52</v>
      </c>
      <c r="I7" s="13" t="s">
        <v>460</v>
      </c>
      <c r="J7" s="13" t="s">
        <v>1247</v>
      </c>
      <c r="K7" s="13" t="s">
        <v>1248</v>
      </c>
      <c r="L7" s="13" t="s">
        <v>1249</v>
      </c>
      <c r="M7" s="13" t="s">
        <v>28</v>
      </c>
      <c r="N7" s="13" t="s">
        <v>220</v>
      </c>
      <c r="O7" s="15">
        <f>总览!$C$5+4</f>
        <v>46219</v>
      </c>
      <c r="P7" s="15"/>
      <c r="Q7" s="12"/>
      <c r="R7" s="12"/>
    </row>
    <row r="8" spans="1:18">
      <c r="A8" s="13" t="s">
        <v>1260</v>
      </c>
      <c r="B8" s="13" t="s">
        <v>1241</v>
      </c>
      <c r="C8" s="13" t="s">
        <v>1242</v>
      </c>
      <c r="D8" s="12" t="s">
        <v>1261</v>
      </c>
      <c r="E8" s="12" t="s">
        <v>1262</v>
      </c>
      <c r="F8" s="12" t="s">
        <v>1263</v>
      </c>
      <c r="G8" s="12" t="s">
        <v>1264</v>
      </c>
      <c r="H8" s="13" t="s">
        <v>52</v>
      </c>
      <c r="I8" s="13" t="s">
        <v>460</v>
      </c>
      <c r="J8" s="13" t="s">
        <v>1247</v>
      </c>
      <c r="K8" s="13" t="s">
        <v>1248</v>
      </c>
      <c r="L8" s="13" t="s">
        <v>1249</v>
      </c>
      <c r="M8" s="13" t="s">
        <v>28</v>
      </c>
      <c r="N8" s="13" t="s">
        <v>220</v>
      </c>
      <c r="O8" s="15">
        <f>总览!$C$5+4</f>
        <v>46219</v>
      </c>
      <c r="P8" s="15"/>
      <c r="Q8" s="12"/>
      <c r="R8" s="12"/>
    </row>
    <row r="9" spans="1:18">
      <c r="A9" s="13" t="s">
        <v>1265</v>
      </c>
      <c r="B9" s="13" t="s">
        <v>1241</v>
      </c>
      <c r="C9" s="13" t="s">
        <v>1242</v>
      </c>
      <c r="D9" s="12" t="s">
        <v>1266</v>
      </c>
      <c r="E9" s="12" t="s">
        <v>1267</v>
      </c>
      <c r="F9" s="12" t="s">
        <v>1000</v>
      </c>
      <c r="G9" s="12" t="s">
        <v>1268</v>
      </c>
      <c r="H9" s="13" t="s">
        <v>52</v>
      </c>
      <c r="I9" s="13" t="s">
        <v>460</v>
      </c>
      <c r="J9" s="13" t="s">
        <v>1247</v>
      </c>
      <c r="K9" s="13" t="s">
        <v>1248</v>
      </c>
      <c r="L9" s="13" t="s">
        <v>1249</v>
      </c>
      <c r="M9" s="13" t="s">
        <v>28</v>
      </c>
      <c r="N9" s="13" t="s">
        <v>220</v>
      </c>
      <c r="O9" s="15">
        <f>总览!$C$5+4</f>
        <v>46219</v>
      </c>
      <c r="P9" s="15"/>
      <c r="Q9" s="12"/>
      <c r="R9" s="12"/>
    </row>
    <row r="10" spans="1:18">
      <c r="A10" s="13" t="s">
        <v>1269</v>
      </c>
      <c r="B10" s="13" t="s">
        <v>1241</v>
      </c>
      <c r="C10" s="13" t="s">
        <v>1242</v>
      </c>
      <c r="D10" s="12" t="s">
        <v>1270</v>
      </c>
      <c r="E10" s="12" t="s">
        <v>1271</v>
      </c>
      <c r="F10" s="12" t="s">
        <v>1000</v>
      </c>
      <c r="G10" s="12" t="s">
        <v>1272</v>
      </c>
      <c r="H10" s="13" t="s">
        <v>52</v>
      </c>
      <c r="I10" s="13" t="s">
        <v>460</v>
      </c>
      <c r="J10" s="13" t="s">
        <v>1247</v>
      </c>
      <c r="K10" s="13" t="s">
        <v>1248</v>
      </c>
      <c r="L10" s="13" t="s">
        <v>1249</v>
      </c>
      <c r="M10" s="13" t="s">
        <v>28</v>
      </c>
      <c r="N10" s="13" t="s">
        <v>220</v>
      </c>
      <c r="O10" s="15">
        <f>总览!$C$5+4</f>
        <v>46219</v>
      </c>
      <c r="P10" s="15"/>
      <c r="Q10" s="12"/>
      <c r="R10" s="12"/>
    </row>
    <row r="11" spans="1:18">
      <c r="A11" s="13" t="s">
        <v>1273</v>
      </c>
      <c r="B11" s="13" t="s">
        <v>1241</v>
      </c>
      <c r="C11" s="13" t="s">
        <v>1242</v>
      </c>
      <c r="D11" s="12" t="s">
        <v>1274</v>
      </c>
      <c r="E11" s="12" t="s">
        <v>1275</v>
      </c>
      <c r="F11" s="12" t="s">
        <v>1276</v>
      </c>
      <c r="G11" s="12" t="s">
        <v>1277</v>
      </c>
      <c r="H11" s="13" t="s">
        <v>52</v>
      </c>
      <c r="I11" s="13" t="s">
        <v>460</v>
      </c>
      <c r="J11" s="13" t="s">
        <v>1247</v>
      </c>
      <c r="K11" s="13" t="s">
        <v>1248</v>
      </c>
      <c r="L11" s="13" t="s">
        <v>1249</v>
      </c>
      <c r="M11" s="13" t="s">
        <v>28</v>
      </c>
      <c r="N11" s="13" t="s">
        <v>220</v>
      </c>
      <c r="O11" s="15">
        <f>总览!$C$5+4</f>
        <v>46219</v>
      </c>
      <c r="P11" s="15"/>
      <c r="Q11" s="12"/>
      <c r="R11" s="12"/>
    </row>
    <row r="12" spans="1:18">
      <c r="A12" s="13" t="s">
        <v>1278</v>
      </c>
      <c r="B12" s="13" t="s">
        <v>1241</v>
      </c>
      <c r="C12" s="13" t="s">
        <v>1242</v>
      </c>
      <c r="D12" s="12" t="s">
        <v>1279</v>
      </c>
      <c r="E12" s="12" t="s">
        <v>1280</v>
      </c>
      <c r="F12" s="12" t="s">
        <v>1253</v>
      </c>
      <c r="G12" s="12" t="s">
        <v>1281</v>
      </c>
      <c r="H12" s="13" t="s">
        <v>52</v>
      </c>
      <c r="I12" s="13" t="s">
        <v>460</v>
      </c>
      <c r="J12" s="13" t="s">
        <v>1247</v>
      </c>
      <c r="K12" s="13" t="s">
        <v>1248</v>
      </c>
      <c r="L12" s="13" t="s">
        <v>1249</v>
      </c>
      <c r="M12" s="13" t="s">
        <v>28</v>
      </c>
      <c r="N12" s="13" t="s">
        <v>220</v>
      </c>
      <c r="O12" s="15">
        <f>总览!$C$5+4</f>
        <v>46219</v>
      </c>
      <c r="P12" s="15"/>
      <c r="Q12" s="12"/>
      <c r="R12" s="12"/>
    </row>
    <row r="13" spans="1:18">
      <c r="A13" s="13" t="s">
        <v>1282</v>
      </c>
      <c r="B13" s="13" t="s">
        <v>1241</v>
      </c>
      <c r="C13" s="13" t="s">
        <v>1242</v>
      </c>
      <c r="D13" s="12" t="s">
        <v>1283</v>
      </c>
      <c r="E13" s="12" t="s">
        <v>1284</v>
      </c>
      <c r="F13" s="12" t="s">
        <v>1013</v>
      </c>
      <c r="G13" s="12" t="s">
        <v>1285</v>
      </c>
      <c r="H13" s="13" t="s">
        <v>52</v>
      </c>
      <c r="I13" s="13" t="s">
        <v>460</v>
      </c>
      <c r="J13" s="13" t="s">
        <v>1247</v>
      </c>
      <c r="K13" s="13" t="s">
        <v>1248</v>
      </c>
      <c r="L13" s="13" t="s">
        <v>1249</v>
      </c>
      <c r="M13" s="13" t="s">
        <v>28</v>
      </c>
      <c r="N13" s="13" t="s">
        <v>220</v>
      </c>
      <c r="O13" s="15">
        <f>总览!$C$5+4</f>
        <v>46219</v>
      </c>
      <c r="P13" s="15"/>
      <c r="Q13" s="12"/>
      <c r="R13" s="12"/>
    </row>
    <row r="14" spans="1:18">
      <c r="A14" s="13" t="s">
        <v>1286</v>
      </c>
      <c r="B14" s="13" t="s">
        <v>1241</v>
      </c>
      <c r="C14" s="13" t="s">
        <v>1242</v>
      </c>
      <c r="D14" s="12" t="s">
        <v>1287</v>
      </c>
      <c r="E14" s="12" t="s">
        <v>1288</v>
      </c>
      <c r="F14" s="12" t="s">
        <v>1013</v>
      </c>
      <c r="G14" s="12" t="s">
        <v>1289</v>
      </c>
      <c r="H14" s="13" t="s">
        <v>52</v>
      </c>
      <c r="I14" s="13" t="s">
        <v>460</v>
      </c>
      <c r="J14" s="13" t="s">
        <v>1247</v>
      </c>
      <c r="K14" s="13" t="s">
        <v>1248</v>
      </c>
      <c r="L14" s="13" t="s">
        <v>1249</v>
      </c>
      <c r="M14" s="13" t="s">
        <v>28</v>
      </c>
      <c r="N14" s="13" t="s">
        <v>220</v>
      </c>
      <c r="O14" s="15">
        <f>总览!$C$5+4</f>
        <v>46219</v>
      </c>
      <c r="P14" s="15"/>
      <c r="Q14" s="12"/>
      <c r="R14" s="12"/>
    </row>
    <row r="15" spans="1:18">
      <c r="A15" s="13" t="s">
        <v>1290</v>
      </c>
      <c r="B15" s="13" t="s">
        <v>1241</v>
      </c>
      <c r="C15" s="13" t="s">
        <v>1242</v>
      </c>
      <c r="D15" s="12" t="s">
        <v>1291</v>
      </c>
      <c r="E15" s="12" t="s">
        <v>1292</v>
      </c>
      <c r="F15" s="12" t="s">
        <v>1293</v>
      </c>
      <c r="G15" s="12" t="s">
        <v>1294</v>
      </c>
      <c r="H15" s="13" t="s">
        <v>52</v>
      </c>
      <c r="I15" s="13" t="s">
        <v>460</v>
      </c>
      <c r="J15" s="13" t="s">
        <v>1247</v>
      </c>
      <c r="K15" s="13" t="s">
        <v>1248</v>
      </c>
      <c r="L15" s="13" t="s">
        <v>1249</v>
      </c>
      <c r="M15" s="13" t="s">
        <v>28</v>
      </c>
      <c r="N15" s="13" t="s">
        <v>220</v>
      </c>
      <c r="O15" s="15">
        <f>总览!$C$5+4</f>
        <v>46219</v>
      </c>
      <c r="P15" s="15"/>
      <c r="Q15" s="12"/>
      <c r="R15" s="12"/>
    </row>
    <row r="16" spans="1:18">
      <c r="A16" s="13" t="s">
        <v>1295</v>
      </c>
      <c r="B16" s="13" t="s">
        <v>1241</v>
      </c>
      <c r="C16" s="13" t="s">
        <v>1242</v>
      </c>
      <c r="D16" s="12" t="s">
        <v>1296</v>
      </c>
      <c r="E16" s="12" t="s">
        <v>1297</v>
      </c>
      <c r="F16" s="12" t="s">
        <v>1298</v>
      </c>
      <c r="G16" s="12" t="s">
        <v>1299</v>
      </c>
      <c r="H16" s="13" t="s">
        <v>52</v>
      </c>
      <c r="I16" s="13" t="s">
        <v>460</v>
      </c>
      <c r="J16" s="13" t="s">
        <v>1247</v>
      </c>
      <c r="K16" s="13" t="s">
        <v>1248</v>
      </c>
      <c r="L16" s="13" t="s">
        <v>1249</v>
      </c>
      <c r="M16" s="13" t="s">
        <v>28</v>
      </c>
      <c r="N16" s="13" t="s">
        <v>220</v>
      </c>
      <c r="O16" s="15">
        <f>总览!$C$5+4</f>
        <v>46219</v>
      </c>
      <c r="P16" s="15"/>
      <c r="Q16" s="12"/>
      <c r="R16" s="12"/>
    </row>
    <row r="17" spans="1:18">
      <c r="A17" s="13" t="s">
        <v>1300</v>
      </c>
      <c r="B17" s="13" t="s">
        <v>1241</v>
      </c>
      <c r="C17" s="13" t="s">
        <v>1242</v>
      </c>
      <c r="D17" s="12" t="s">
        <v>1301</v>
      </c>
      <c r="E17" s="12" t="s">
        <v>1302</v>
      </c>
      <c r="F17" s="12" t="s">
        <v>1303</v>
      </c>
      <c r="G17" s="12" t="s">
        <v>1304</v>
      </c>
      <c r="H17" s="13" t="s">
        <v>52</v>
      </c>
      <c r="I17" s="13" t="s">
        <v>460</v>
      </c>
      <c r="J17" s="13" t="s">
        <v>1247</v>
      </c>
      <c r="K17" s="13" t="s">
        <v>1248</v>
      </c>
      <c r="L17" s="13" t="s">
        <v>1249</v>
      </c>
      <c r="M17" s="13" t="s">
        <v>28</v>
      </c>
      <c r="N17" s="13" t="s">
        <v>220</v>
      </c>
      <c r="O17" s="15">
        <f>总览!$C$5+4</f>
        <v>46219</v>
      </c>
      <c r="P17" s="15"/>
      <c r="Q17" s="12"/>
      <c r="R17" s="12"/>
    </row>
    <row r="18" spans="1:18">
      <c r="A18" s="13" t="s">
        <v>1305</v>
      </c>
      <c r="B18" s="13" t="s">
        <v>1241</v>
      </c>
      <c r="C18" s="13" t="s">
        <v>1242</v>
      </c>
      <c r="D18" s="12" t="s">
        <v>1306</v>
      </c>
      <c r="E18" s="12" t="s">
        <v>1307</v>
      </c>
      <c r="F18" s="12" t="s">
        <v>1308</v>
      </c>
      <c r="G18" s="12" t="s">
        <v>1309</v>
      </c>
      <c r="H18" s="13" t="s">
        <v>52</v>
      </c>
      <c r="I18" s="13" t="s">
        <v>460</v>
      </c>
      <c r="J18" s="13" t="s">
        <v>1247</v>
      </c>
      <c r="K18" s="13" t="s">
        <v>1248</v>
      </c>
      <c r="L18" s="13" t="s">
        <v>1249</v>
      </c>
      <c r="M18" s="13" t="s">
        <v>28</v>
      </c>
      <c r="N18" s="13" t="s">
        <v>220</v>
      </c>
      <c r="O18" s="15">
        <f>总览!$C$5+4</f>
        <v>46219</v>
      </c>
      <c r="P18" s="15"/>
      <c r="Q18" s="12"/>
      <c r="R18" s="12"/>
    </row>
    <row r="19" spans="1:18">
      <c r="A19" s="13" t="s">
        <v>1310</v>
      </c>
      <c r="B19" s="13" t="s">
        <v>1241</v>
      </c>
      <c r="C19" s="13" t="s">
        <v>1242</v>
      </c>
      <c r="D19" s="12" t="s">
        <v>1311</v>
      </c>
      <c r="E19" s="12" t="s">
        <v>1312</v>
      </c>
      <c r="F19" s="12" t="s">
        <v>1313</v>
      </c>
      <c r="G19" s="12" t="s">
        <v>1314</v>
      </c>
      <c r="H19" s="13" t="s">
        <v>52</v>
      </c>
      <c r="I19" s="13" t="s">
        <v>460</v>
      </c>
      <c r="J19" s="13" t="s">
        <v>1247</v>
      </c>
      <c r="K19" s="13" t="s">
        <v>1248</v>
      </c>
      <c r="L19" s="13" t="s">
        <v>1249</v>
      </c>
      <c r="M19" s="13" t="s">
        <v>28</v>
      </c>
      <c r="N19" s="13" t="s">
        <v>220</v>
      </c>
      <c r="O19" s="15">
        <f>总览!$C$5+4</f>
        <v>46219</v>
      </c>
      <c r="P19" s="15"/>
      <c r="Q19" s="12"/>
      <c r="R19" s="12"/>
    </row>
    <row r="20" spans="1:18">
      <c r="A20" s="13" t="s">
        <v>1315</v>
      </c>
      <c r="B20" s="13" t="s">
        <v>1241</v>
      </c>
      <c r="C20" s="13" t="s">
        <v>1242</v>
      </c>
      <c r="D20" s="12" t="s">
        <v>1316</v>
      </c>
      <c r="E20" s="12" t="s">
        <v>1317</v>
      </c>
      <c r="F20" s="12" t="s">
        <v>1253</v>
      </c>
      <c r="G20" s="12" t="s">
        <v>1318</v>
      </c>
      <c r="H20" s="13" t="s">
        <v>52</v>
      </c>
      <c r="I20" s="13" t="s">
        <v>460</v>
      </c>
      <c r="J20" s="13" t="s">
        <v>1247</v>
      </c>
      <c r="K20" s="13" t="s">
        <v>1248</v>
      </c>
      <c r="L20" s="13" t="s">
        <v>1249</v>
      </c>
      <c r="M20" s="13" t="s">
        <v>28</v>
      </c>
      <c r="N20" s="13" t="s">
        <v>220</v>
      </c>
      <c r="O20" s="15">
        <f>总览!$C$5+4</f>
        <v>46219</v>
      </c>
      <c r="P20" s="15"/>
      <c r="Q20" s="12"/>
      <c r="R20" s="12"/>
    </row>
    <row r="21" spans="1:18">
      <c r="A21" s="13" t="s">
        <v>1319</v>
      </c>
      <c r="B21" s="13" t="s">
        <v>1241</v>
      </c>
      <c r="C21" s="13" t="s">
        <v>1242</v>
      </c>
      <c r="D21" s="12" t="s">
        <v>1320</v>
      </c>
      <c r="E21" s="12" t="s">
        <v>1257</v>
      </c>
      <c r="F21" s="12" t="s">
        <v>1321</v>
      </c>
      <c r="G21" s="12" t="s">
        <v>1322</v>
      </c>
      <c r="H21" s="13" t="s">
        <v>52</v>
      </c>
      <c r="I21" s="13" t="s">
        <v>460</v>
      </c>
      <c r="J21" s="13" t="s">
        <v>1247</v>
      </c>
      <c r="K21" s="13" t="s">
        <v>1248</v>
      </c>
      <c r="L21" s="13" t="s">
        <v>1249</v>
      </c>
      <c r="M21" s="13" t="s">
        <v>28</v>
      </c>
      <c r="N21" s="13" t="s">
        <v>220</v>
      </c>
      <c r="O21" s="15">
        <f>总览!$C$5+4</f>
        <v>46219</v>
      </c>
      <c r="P21" s="15"/>
      <c r="Q21" s="12"/>
      <c r="R21" s="12"/>
    </row>
    <row r="22" spans="1:18">
      <c r="A22" s="13" t="s">
        <v>1323</v>
      </c>
      <c r="B22" s="13" t="s">
        <v>1241</v>
      </c>
      <c r="C22" s="13" t="s">
        <v>1242</v>
      </c>
      <c r="D22" s="12" t="s">
        <v>1324</v>
      </c>
      <c r="E22" s="12" t="s">
        <v>1325</v>
      </c>
      <c r="F22" s="12" t="s">
        <v>1321</v>
      </c>
      <c r="G22" s="12" t="s">
        <v>1326</v>
      </c>
      <c r="H22" s="13" t="s">
        <v>52</v>
      </c>
      <c r="I22" s="13" t="s">
        <v>460</v>
      </c>
      <c r="J22" s="13" t="s">
        <v>1247</v>
      </c>
      <c r="K22" s="13" t="s">
        <v>1248</v>
      </c>
      <c r="L22" s="13" t="s">
        <v>1249</v>
      </c>
      <c r="M22" s="13" t="s">
        <v>28</v>
      </c>
      <c r="N22" s="13" t="s">
        <v>220</v>
      </c>
      <c r="O22" s="15">
        <f>总览!$C$5+4</f>
        <v>46219</v>
      </c>
      <c r="P22" s="15"/>
      <c r="Q22" s="12"/>
      <c r="R22" s="12"/>
    </row>
    <row r="23" spans="1:18">
      <c r="A23" s="13" t="s">
        <v>1327</v>
      </c>
      <c r="B23" s="13" t="s">
        <v>1241</v>
      </c>
      <c r="C23" s="13" t="s">
        <v>1242</v>
      </c>
      <c r="D23" s="12" t="s">
        <v>1328</v>
      </c>
      <c r="E23" s="12" t="s">
        <v>1329</v>
      </c>
      <c r="F23" s="12" t="s">
        <v>1321</v>
      </c>
      <c r="G23" s="12" t="s">
        <v>1330</v>
      </c>
      <c r="H23" s="13" t="s">
        <v>52</v>
      </c>
      <c r="I23" s="13" t="s">
        <v>460</v>
      </c>
      <c r="J23" s="13" t="s">
        <v>1247</v>
      </c>
      <c r="K23" s="13" t="s">
        <v>1248</v>
      </c>
      <c r="L23" s="13" t="s">
        <v>1249</v>
      </c>
      <c r="M23" s="13" t="s">
        <v>28</v>
      </c>
      <c r="N23" s="13" t="s">
        <v>220</v>
      </c>
      <c r="O23" s="15">
        <f>总览!$C$5+4</f>
        <v>46219</v>
      </c>
      <c r="P23" s="15"/>
      <c r="Q23" s="12"/>
      <c r="R23" s="12"/>
    </row>
    <row r="24" spans="1:18">
      <c r="A24" s="13" t="s">
        <v>1331</v>
      </c>
      <c r="B24" s="13" t="s">
        <v>1241</v>
      </c>
      <c r="C24" s="13" t="s">
        <v>1242</v>
      </c>
      <c r="D24" s="12" t="s">
        <v>1332</v>
      </c>
      <c r="E24" s="12" t="s">
        <v>1333</v>
      </c>
      <c r="F24" s="12" t="s">
        <v>1000</v>
      </c>
      <c r="G24" s="12" t="s">
        <v>1334</v>
      </c>
      <c r="H24" s="13" t="s">
        <v>52</v>
      </c>
      <c r="I24" s="13" t="s">
        <v>460</v>
      </c>
      <c r="J24" s="13" t="s">
        <v>1247</v>
      </c>
      <c r="K24" s="13" t="s">
        <v>1248</v>
      </c>
      <c r="L24" s="13" t="s">
        <v>1249</v>
      </c>
      <c r="M24" s="13" t="s">
        <v>28</v>
      </c>
      <c r="N24" s="13" t="s">
        <v>220</v>
      </c>
      <c r="O24" s="15">
        <f>总览!$C$5+4</f>
        <v>46219</v>
      </c>
      <c r="P24" s="15"/>
      <c r="Q24" s="12"/>
      <c r="R24" s="12"/>
    </row>
    <row r="25" spans="1:18">
      <c r="A25" s="13" t="s">
        <v>1335</v>
      </c>
      <c r="B25" s="13" t="s">
        <v>1241</v>
      </c>
      <c r="C25" s="13" t="s">
        <v>1242</v>
      </c>
      <c r="D25" s="12" t="s">
        <v>964</v>
      </c>
      <c r="E25" s="12" t="s">
        <v>1336</v>
      </c>
      <c r="F25" s="12" t="s">
        <v>1253</v>
      </c>
      <c r="G25" s="12" t="s">
        <v>1337</v>
      </c>
      <c r="H25" s="13" t="s">
        <v>52</v>
      </c>
      <c r="I25" s="13" t="s">
        <v>460</v>
      </c>
      <c r="J25" s="13" t="s">
        <v>1247</v>
      </c>
      <c r="K25" s="13" t="s">
        <v>1248</v>
      </c>
      <c r="L25" s="13" t="s">
        <v>1249</v>
      </c>
      <c r="M25" s="13" t="s">
        <v>28</v>
      </c>
      <c r="N25" s="13" t="s">
        <v>220</v>
      </c>
      <c r="O25" s="15">
        <f>总览!$C$5+4</f>
        <v>46219</v>
      </c>
      <c r="P25" s="15"/>
      <c r="Q25" s="12"/>
      <c r="R25" s="12"/>
    </row>
    <row r="26" spans="1:18">
      <c r="A26" s="13" t="s">
        <v>1338</v>
      </c>
      <c r="B26" s="13" t="s">
        <v>1241</v>
      </c>
      <c r="C26" s="13" t="s">
        <v>1242</v>
      </c>
      <c r="D26" s="12" t="s">
        <v>1339</v>
      </c>
      <c r="E26" s="12" t="s">
        <v>1004</v>
      </c>
      <c r="F26" s="12" t="s">
        <v>1321</v>
      </c>
      <c r="G26" s="12" t="s">
        <v>1340</v>
      </c>
      <c r="H26" s="13" t="s">
        <v>52</v>
      </c>
      <c r="I26" s="13" t="s">
        <v>460</v>
      </c>
      <c r="J26" s="13" t="s">
        <v>1247</v>
      </c>
      <c r="K26" s="13" t="s">
        <v>1248</v>
      </c>
      <c r="L26" s="13" t="s">
        <v>1249</v>
      </c>
      <c r="M26" s="13" t="s">
        <v>28</v>
      </c>
      <c r="N26" s="13" t="s">
        <v>220</v>
      </c>
      <c r="O26" s="15">
        <f>总览!$C$5+4</f>
        <v>46219</v>
      </c>
      <c r="P26" s="15"/>
      <c r="Q26" s="12"/>
      <c r="R26" s="12"/>
    </row>
    <row r="27" spans="1:18">
      <c r="A27" s="13" t="s">
        <v>1341</v>
      </c>
      <c r="B27" s="13" t="s">
        <v>1241</v>
      </c>
      <c r="C27" s="13" t="s">
        <v>1242</v>
      </c>
      <c r="D27" s="12" t="s">
        <v>1342</v>
      </c>
      <c r="E27" s="12" t="s">
        <v>1343</v>
      </c>
      <c r="F27" s="12" t="s">
        <v>1000</v>
      </c>
      <c r="G27" s="12" t="s">
        <v>1268</v>
      </c>
      <c r="H27" s="13" t="s">
        <v>52</v>
      </c>
      <c r="I27" s="13" t="s">
        <v>460</v>
      </c>
      <c r="J27" s="13" t="s">
        <v>1247</v>
      </c>
      <c r="K27" s="13" t="s">
        <v>1248</v>
      </c>
      <c r="L27" s="13" t="s">
        <v>1249</v>
      </c>
      <c r="M27" s="13" t="s">
        <v>28</v>
      </c>
      <c r="N27" s="13" t="s">
        <v>220</v>
      </c>
      <c r="O27" s="15">
        <f>总览!$C$5+4</f>
        <v>46219</v>
      </c>
      <c r="P27" s="15"/>
      <c r="Q27" s="12"/>
      <c r="R27" s="12"/>
    </row>
    <row r="28" spans="1:18">
      <c r="A28" s="13" t="s">
        <v>1344</v>
      </c>
      <c r="B28" s="13" t="s">
        <v>1241</v>
      </c>
      <c r="C28" s="13" t="s">
        <v>1242</v>
      </c>
      <c r="D28" s="12" t="s">
        <v>1345</v>
      </c>
      <c r="E28" s="12" t="s">
        <v>1346</v>
      </c>
      <c r="F28" s="12" t="s">
        <v>1347</v>
      </c>
      <c r="G28" s="12" t="s">
        <v>1348</v>
      </c>
      <c r="H28" s="13" t="s">
        <v>52</v>
      </c>
      <c r="I28" s="13" t="s">
        <v>460</v>
      </c>
      <c r="J28" s="13" t="s">
        <v>1247</v>
      </c>
      <c r="K28" s="13" t="s">
        <v>1248</v>
      </c>
      <c r="L28" s="13" t="s">
        <v>1249</v>
      </c>
      <c r="M28" s="13" t="s">
        <v>28</v>
      </c>
      <c r="N28" s="13" t="s">
        <v>220</v>
      </c>
      <c r="O28" s="15">
        <f>总览!$C$5+4</f>
        <v>46219</v>
      </c>
      <c r="P28" s="15"/>
      <c r="Q28" s="12"/>
      <c r="R28" s="12"/>
    </row>
    <row r="29" spans="1:18">
      <c r="A29" s="13" t="s">
        <v>1349</v>
      </c>
      <c r="B29" s="13" t="s">
        <v>1241</v>
      </c>
      <c r="C29" s="13" t="s">
        <v>1242</v>
      </c>
      <c r="D29" s="12" t="s">
        <v>940</v>
      </c>
      <c r="E29" s="12" t="s">
        <v>1350</v>
      </c>
      <c r="F29" s="12" t="s">
        <v>1351</v>
      </c>
      <c r="G29" s="12" t="s">
        <v>1352</v>
      </c>
      <c r="H29" s="13" t="s">
        <v>52</v>
      </c>
      <c r="I29" s="13" t="s">
        <v>460</v>
      </c>
      <c r="J29" s="13" t="s">
        <v>1247</v>
      </c>
      <c r="K29" s="13" t="s">
        <v>1248</v>
      </c>
      <c r="L29" s="13" t="s">
        <v>1249</v>
      </c>
      <c r="M29" s="13" t="s">
        <v>28</v>
      </c>
      <c r="N29" s="13" t="s">
        <v>220</v>
      </c>
      <c r="O29" s="15">
        <f>总览!$C$5+4</f>
        <v>46219</v>
      </c>
      <c r="P29" s="15"/>
      <c r="Q29" s="12"/>
      <c r="R29" s="12"/>
    </row>
    <row r="30" spans="1:18">
      <c r="A30" s="13" t="s">
        <v>1353</v>
      </c>
      <c r="B30" s="13" t="s">
        <v>1354</v>
      </c>
      <c r="C30" s="13" t="s">
        <v>1355</v>
      </c>
      <c r="D30" s="12" t="s">
        <v>1356</v>
      </c>
      <c r="E30" s="12"/>
      <c r="F30" s="12"/>
      <c r="G30" s="12" t="s">
        <v>1357</v>
      </c>
      <c r="H30" s="13" t="s">
        <v>52</v>
      </c>
      <c r="I30" s="13" t="s">
        <v>460</v>
      </c>
      <c r="J30" s="13" t="s">
        <v>1247</v>
      </c>
      <c r="K30" s="13" t="s">
        <v>1248</v>
      </c>
      <c r="L30" s="13" t="s">
        <v>1358</v>
      </c>
      <c r="M30" s="13" t="s">
        <v>28</v>
      </c>
      <c r="N30" s="13" t="s">
        <v>220</v>
      </c>
      <c r="O30" s="15">
        <f>总览!$C$5+4</f>
        <v>46219</v>
      </c>
      <c r="P30" s="15"/>
      <c r="Q30" s="12"/>
      <c r="R30" s="12"/>
    </row>
    <row r="31" spans="1:18">
      <c r="A31" s="13" t="s">
        <v>1359</v>
      </c>
      <c r="B31" s="13" t="s">
        <v>1354</v>
      </c>
      <c r="C31" s="13" t="s">
        <v>1355</v>
      </c>
      <c r="D31" s="12" t="s">
        <v>1360</v>
      </c>
      <c r="E31" s="12"/>
      <c r="F31" s="12"/>
      <c r="G31" s="12" t="s">
        <v>1361</v>
      </c>
      <c r="H31" s="13" t="s">
        <v>52</v>
      </c>
      <c r="I31" s="13" t="s">
        <v>460</v>
      </c>
      <c r="J31" s="13" t="s">
        <v>1247</v>
      </c>
      <c r="K31" s="13" t="s">
        <v>1248</v>
      </c>
      <c r="L31" s="13" t="s">
        <v>1358</v>
      </c>
      <c r="M31" s="13" t="s">
        <v>28</v>
      </c>
      <c r="N31" s="13" t="s">
        <v>220</v>
      </c>
      <c r="O31" s="15">
        <f>总览!$C$5+4</f>
        <v>46219</v>
      </c>
      <c r="P31" s="15"/>
      <c r="Q31" s="12"/>
      <c r="R31" s="12"/>
    </row>
    <row r="32" spans="1:18">
      <c r="A32" s="13" t="s">
        <v>1362</v>
      </c>
      <c r="B32" s="13" t="s">
        <v>1354</v>
      </c>
      <c r="C32" s="13" t="s">
        <v>1355</v>
      </c>
      <c r="D32" s="12" t="s">
        <v>1363</v>
      </c>
      <c r="E32" s="12"/>
      <c r="F32" s="12"/>
      <c r="G32" s="12" t="s">
        <v>1364</v>
      </c>
      <c r="H32" s="13" t="s">
        <v>52</v>
      </c>
      <c r="I32" s="13" t="s">
        <v>460</v>
      </c>
      <c r="J32" s="13" t="s">
        <v>1247</v>
      </c>
      <c r="K32" s="13" t="s">
        <v>1248</v>
      </c>
      <c r="L32" s="13" t="s">
        <v>1358</v>
      </c>
      <c r="M32" s="13" t="s">
        <v>28</v>
      </c>
      <c r="N32" s="13" t="s">
        <v>220</v>
      </c>
      <c r="O32" s="15">
        <f>总览!$C$5+4</f>
        <v>46219</v>
      </c>
      <c r="P32" s="15"/>
      <c r="Q32" s="12"/>
      <c r="R32" s="12"/>
    </row>
    <row r="33" spans="1:18">
      <c r="A33" s="13" t="s">
        <v>1365</v>
      </c>
      <c r="B33" s="13" t="s">
        <v>1354</v>
      </c>
      <c r="C33" s="13" t="s">
        <v>1355</v>
      </c>
      <c r="D33" s="12" t="s">
        <v>1366</v>
      </c>
      <c r="E33" s="12"/>
      <c r="F33" s="12"/>
      <c r="G33" s="12" t="s">
        <v>1367</v>
      </c>
      <c r="H33" s="13" t="s">
        <v>52</v>
      </c>
      <c r="I33" s="13" t="s">
        <v>460</v>
      </c>
      <c r="J33" s="13" t="s">
        <v>1247</v>
      </c>
      <c r="K33" s="13" t="s">
        <v>1248</v>
      </c>
      <c r="L33" s="13" t="s">
        <v>1358</v>
      </c>
      <c r="M33" s="13" t="s">
        <v>28</v>
      </c>
      <c r="N33" s="13" t="s">
        <v>220</v>
      </c>
      <c r="O33" s="15">
        <f>总览!$C$5+4</f>
        <v>46219</v>
      </c>
      <c r="P33" s="15"/>
      <c r="Q33" s="12"/>
      <c r="R33" s="12"/>
    </row>
    <row r="34" spans="1:18">
      <c r="A34" s="13" t="s">
        <v>1368</v>
      </c>
      <c r="B34" s="13" t="s">
        <v>1354</v>
      </c>
      <c r="C34" s="13" t="s">
        <v>1355</v>
      </c>
      <c r="D34" s="12" t="s">
        <v>1369</v>
      </c>
      <c r="E34" s="12"/>
      <c r="F34" s="12"/>
      <c r="G34" s="12" t="s">
        <v>1370</v>
      </c>
      <c r="H34" s="13" t="s">
        <v>52</v>
      </c>
      <c r="I34" s="13" t="s">
        <v>460</v>
      </c>
      <c r="J34" s="13" t="s">
        <v>1247</v>
      </c>
      <c r="K34" s="13" t="s">
        <v>1248</v>
      </c>
      <c r="L34" s="13" t="s">
        <v>1358</v>
      </c>
      <c r="M34" s="13" t="s">
        <v>28</v>
      </c>
      <c r="N34" s="13" t="s">
        <v>220</v>
      </c>
      <c r="O34" s="15">
        <f>总览!$C$5+4</f>
        <v>46219</v>
      </c>
      <c r="P34" s="15"/>
      <c r="Q34" s="12"/>
      <c r="R34" s="12"/>
    </row>
    <row r="35" spans="1:18">
      <c r="A35" s="13" t="s">
        <v>1371</v>
      </c>
      <c r="B35" s="13" t="s">
        <v>1354</v>
      </c>
      <c r="C35" s="13" t="s">
        <v>1355</v>
      </c>
      <c r="D35" s="12" t="s">
        <v>1372</v>
      </c>
      <c r="E35" s="12"/>
      <c r="F35" s="12"/>
      <c r="G35" s="12" t="s">
        <v>1373</v>
      </c>
      <c r="H35" s="13" t="s">
        <v>52</v>
      </c>
      <c r="I35" s="13" t="s">
        <v>460</v>
      </c>
      <c r="J35" s="13" t="s">
        <v>1247</v>
      </c>
      <c r="K35" s="13" t="s">
        <v>1248</v>
      </c>
      <c r="L35" s="13" t="s">
        <v>1358</v>
      </c>
      <c r="M35" s="13" t="s">
        <v>28</v>
      </c>
      <c r="N35" s="13" t="s">
        <v>220</v>
      </c>
      <c r="O35" s="15">
        <f>总览!$C$5+4</f>
        <v>46219</v>
      </c>
      <c r="P35" s="15"/>
      <c r="Q35" s="12"/>
      <c r="R35" s="12"/>
    </row>
    <row r="36" spans="1:18">
      <c r="A36" s="13" t="s">
        <v>1374</v>
      </c>
      <c r="B36" s="13" t="s">
        <v>1354</v>
      </c>
      <c r="C36" s="13" t="s">
        <v>1355</v>
      </c>
      <c r="D36" s="12" t="s">
        <v>1375</v>
      </c>
      <c r="E36" s="12"/>
      <c r="F36" s="12"/>
      <c r="G36" s="12" t="s">
        <v>1376</v>
      </c>
      <c r="H36" s="13" t="s">
        <v>52</v>
      </c>
      <c r="I36" s="13" t="s">
        <v>460</v>
      </c>
      <c r="J36" s="13" t="s">
        <v>1247</v>
      </c>
      <c r="K36" s="13" t="s">
        <v>1248</v>
      </c>
      <c r="L36" s="13" t="s">
        <v>1358</v>
      </c>
      <c r="M36" s="13" t="s">
        <v>28</v>
      </c>
      <c r="N36" s="13" t="s">
        <v>220</v>
      </c>
      <c r="O36" s="15">
        <f>总览!$C$5+4</f>
        <v>46219</v>
      </c>
      <c r="P36" s="15"/>
      <c r="Q36" s="12"/>
      <c r="R36" s="12"/>
    </row>
    <row r="37" spans="1:18">
      <c r="A37" s="13" t="s">
        <v>1377</v>
      </c>
      <c r="B37" s="13" t="s">
        <v>1354</v>
      </c>
      <c r="C37" s="13" t="s">
        <v>1355</v>
      </c>
      <c r="D37" s="12" t="s">
        <v>1378</v>
      </c>
      <c r="E37" s="12"/>
      <c r="F37" s="12"/>
      <c r="G37" s="12" t="s">
        <v>1379</v>
      </c>
      <c r="H37" s="13" t="s">
        <v>52</v>
      </c>
      <c r="I37" s="13" t="s">
        <v>460</v>
      </c>
      <c r="J37" s="13" t="s">
        <v>1247</v>
      </c>
      <c r="K37" s="13" t="s">
        <v>1248</v>
      </c>
      <c r="L37" s="13" t="s">
        <v>1358</v>
      </c>
      <c r="M37" s="13" t="s">
        <v>28</v>
      </c>
      <c r="N37" s="13" t="s">
        <v>220</v>
      </c>
      <c r="O37" s="15">
        <f>总览!$C$5+4</f>
        <v>46219</v>
      </c>
      <c r="P37" s="15"/>
      <c r="Q37" s="12"/>
      <c r="R37" s="12"/>
    </row>
    <row r="38" spans="1:18">
      <c r="A38" s="13" t="s">
        <v>1380</v>
      </c>
      <c r="B38" s="13" t="s">
        <v>1354</v>
      </c>
      <c r="C38" s="13" t="s">
        <v>1355</v>
      </c>
      <c r="D38" s="12" t="s">
        <v>1381</v>
      </c>
      <c r="E38" s="12"/>
      <c r="F38" s="12"/>
      <c r="G38" s="12" t="s">
        <v>1382</v>
      </c>
      <c r="H38" s="13" t="s">
        <v>52</v>
      </c>
      <c r="I38" s="13" t="s">
        <v>460</v>
      </c>
      <c r="J38" s="13" t="s">
        <v>1247</v>
      </c>
      <c r="K38" s="13" t="s">
        <v>1248</v>
      </c>
      <c r="L38" s="13" t="s">
        <v>1358</v>
      </c>
      <c r="M38" s="13" t="s">
        <v>28</v>
      </c>
      <c r="N38" s="13" t="s">
        <v>220</v>
      </c>
      <c r="O38" s="15">
        <f>总览!$C$5+4</f>
        <v>46219</v>
      </c>
      <c r="P38" s="15"/>
      <c r="Q38" s="12"/>
      <c r="R38" s="12"/>
    </row>
    <row r="39" spans="1:18">
      <c r="A39" s="13" t="s">
        <v>1383</v>
      </c>
      <c r="B39" s="13" t="s">
        <v>1354</v>
      </c>
      <c r="C39" s="13" t="s">
        <v>1355</v>
      </c>
      <c r="D39" s="12" t="s">
        <v>1384</v>
      </c>
      <c r="E39" s="12"/>
      <c r="F39" s="12"/>
      <c r="G39" s="12" t="s">
        <v>1385</v>
      </c>
      <c r="H39" s="13" t="s">
        <v>52</v>
      </c>
      <c r="I39" s="13" t="s">
        <v>460</v>
      </c>
      <c r="J39" s="13" t="s">
        <v>1247</v>
      </c>
      <c r="K39" s="13" t="s">
        <v>1248</v>
      </c>
      <c r="L39" s="13" t="s">
        <v>1358</v>
      </c>
      <c r="M39" s="13" t="s">
        <v>28</v>
      </c>
      <c r="N39" s="13" t="s">
        <v>220</v>
      </c>
      <c r="O39" s="15">
        <f>总览!$C$5+4</f>
        <v>46219</v>
      </c>
      <c r="P39" s="15"/>
      <c r="Q39" s="12"/>
      <c r="R39" s="12"/>
    </row>
    <row r="40" spans="1:18">
      <c r="A40" s="13" t="s">
        <v>1386</v>
      </c>
      <c r="B40" s="13" t="s">
        <v>1354</v>
      </c>
      <c r="C40" s="13" t="s">
        <v>1355</v>
      </c>
      <c r="D40" s="12" t="s">
        <v>1387</v>
      </c>
      <c r="E40" s="12"/>
      <c r="F40" s="12"/>
      <c r="G40" s="12" t="s">
        <v>1388</v>
      </c>
      <c r="H40" s="13" t="s">
        <v>52</v>
      </c>
      <c r="I40" s="13" t="s">
        <v>460</v>
      </c>
      <c r="J40" s="13" t="s">
        <v>1247</v>
      </c>
      <c r="K40" s="13" t="s">
        <v>1248</v>
      </c>
      <c r="L40" s="13" t="s">
        <v>1358</v>
      </c>
      <c r="M40" s="13" t="s">
        <v>28</v>
      </c>
      <c r="N40" s="13" t="s">
        <v>220</v>
      </c>
      <c r="O40" s="15">
        <f>总览!$C$5+4</f>
        <v>46219</v>
      </c>
      <c r="P40" s="15"/>
      <c r="Q40" s="12"/>
      <c r="R40" s="12"/>
    </row>
    <row r="41" spans="1:18">
      <c r="A41" s="13" t="s">
        <v>1389</v>
      </c>
      <c r="B41" s="13" t="s">
        <v>1354</v>
      </c>
      <c r="C41" s="13" t="s">
        <v>1355</v>
      </c>
      <c r="D41" s="12" t="s">
        <v>1390</v>
      </c>
      <c r="E41" s="12"/>
      <c r="F41" s="12"/>
      <c r="G41" s="12" t="s">
        <v>1391</v>
      </c>
      <c r="H41" s="13" t="s">
        <v>52</v>
      </c>
      <c r="I41" s="13" t="s">
        <v>460</v>
      </c>
      <c r="J41" s="13" t="s">
        <v>1247</v>
      </c>
      <c r="K41" s="13" t="s">
        <v>1248</v>
      </c>
      <c r="L41" s="13" t="s">
        <v>1358</v>
      </c>
      <c r="M41" s="13" t="s">
        <v>28</v>
      </c>
      <c r="N41" s="13" t="s">
        <v>220</v>
      </c>
      <c r="O41" s="15">
        <f>总览!$C$5+4</f>
        <v>46219</v>
      </c>
      <c r="P41" s="15"/>
      <c r="Q41" s="12"/>
      <c r="R41" s="12"/>
    </row>
    <row r="42" spans="1:18">
      <c r="A42" s="13" t="s">
        <v>1392</v>
      </c>
      <c r="B42" s="13" t="s">
        <v>1354</v>
      </c>
      <c r="C42" s="13" t="s">
        <v>1355</v>
      </c>
      <c r="D42" s="12" t="s">
        <v>1393</v>
      </c>
      <c r="E42" s="12"/>
      <c r="F42" s="12"/>
      <c r="G42" s="12" t="s">
        <v>1394</v>
      </c>
      <c r="H42" s="13" t="s">
        <v>52</v>
      </c>
      <c r="I42" s="13" t="s">
        <v>460</v>
      </c>
      <c r="J42" s="13" t="s">
        <v>1247</v>
      </c>
      <c r="K42" s="13" t="s">
        <v>1248</v>
      </c>
      <c r="L42" s="13" t="s">
        <v>1358</v>
      </c>
      <c r="M42" s="13" t="s">
        <v>28</v>
      </c>
      <c r="N42" s="13" t="s">
        <v>220</v>
      </c>
      <c r="O42" s="15">
        <f>总览!$C$5+4</f>
        <v>46219</v>
      </c>
      <c r="P42" s="15"/>
      <c r="Q42" s="12"/>
      <c r="R42" s="12"/>
    </row>
    <row r="43" spans="1:18">
      <c r="A43" s="13" t="s">
        <v>1395</v>
      </c>
      <c r="B43" s="13" t="s">
        <v>1354</v>
      </c>
      <c r="C43" s="13" t="s">
        <v>1355</v>
      </c>
      <c r="D43" s="12" t="s">
        <v>1396</v>
      </c>
      <c r="E43" s="12"/>
      <c r="F43" s="12"/>
      <c r="G43" s="12" t="s">
        <v>1397</v>
      </c>
      <c r="H43" s="13" t="s">
        <v>52</v>
      </c>
      <c r="I43" s="13" t="s">
        <v>460</v>
      </c>
      <c r="J43" s="13" t="s">
        <v>1247</v>
      </c>
      <c r="K43" s="13" t="s">
        <v>1248</v>
      </c>
      <c r="L43" s="13" t="s">
        <v>1358</v>
      </c>
      <c r="M43" s="13" t="s">
        <v>28</v>
      </c>
      <c r="N43" s="13" t="s">
        <v>220</v>
      </c>
      <c r="O43" s="15">
        <f>总览!$C$5+4</f>
        <v>46219</v>
      </c>
      <c r="P43" s="15"/>
      <c r="Q43" s="12"/>
      <c r="R43" s="12"/>
    </row>
    <row r="44" spans="1:18">
      <c r="A44" s="13" t="s">
        <v>1398</v>
      </c>
      <c r="B44" s="13" t="s">
        <v>1354</v>
      </c>
      <c r="C44" s="13" t="s">
        <v>1355</v>
      </c>
      <c r="D44" s="12" t="s">
        <v>1399</v>
      </c>
      <c r="E44" s="12"/>
      <c r="F44" s="12"/>
      <c r="G44" s="12" t="s">
        <v>1400</v>
      </c>
      <c r="H44" s="13" t="s">
        <v>52</v>
      </c>
      <c r="I44" s="13" t="s">
        <v>460</v>
      </c>
      <c r="J44" s="13" t="s">
        <v>1247</v>
      </c>
      <c r="K44" s="13" t="s">
        <v>1248</v>
      </c>
      <c r="L44" s="13" t="s">
        <v>1358</v>
      </c>
      <c r="M44" s="13" t="s">
        <v>28</v>
      </c>
      <c r="N44" s="13" t="s">
        <v>220</v>
      </c>
      <c r="O44" s="15">
        <f>总览!$C$5+4</f>
        <v>46219</v>
      </c>
      <c r="P44" s="15"/>
      <c r="Q44" s="12"/>
      <c r="R44" s="12"/>
    </row>
    <row r="45" spans="1:18">
      <c r="A45" s="13" t="s">
        <v>1401</v>
      </c>
      <c r="B45" s="13" t="s">
        <v>1354</v>
      </c>
      <c r="C45" s="13" t="s">
        <v>1355</v>
      </c>
      <c r="D45" s="12" t="s">
        <v>1402</v>
      </c>
      <c r="E45" s="12"/>
      <c r="F45" s="12"/>
      <c r="G45" s="12" t="s">
        <v>1403</v>
      </c>
      <c r="H45" s="13" t="s">
        <v>52</v>
      </c>
      <c r="I45" s="13" t="s">
        <v>460</v>
      </c>
      <c r="J45" s="13" t="s">
        <v>1247</v>
      </c>
      <c r="K45" s="13" t="s">
        <v>1248</v>
      </c>
      <c r="L45" s="13" t="s">
        <v>1358</v>
      </c>
      <c r="M45" s="13" t="s">
        <v>28</v>
      </c>
      <c r="N45" s="13" t="s">
        <v>220</v>
      </c>
      <c r="O45" s="15">
        <f>总览!$C$5+4</f>
        <v>46219</v>
      </c>
      <c r="P45" s="15"/>
      <c r="Q45" s="12"/>
      <c r="R45" s="12"/>
    </row>
    <row r="46" spans="1:18">
      <c r="A46" s="13" t="s">
        <v>1404</v>
      </c>
      <c r="B46" s="13" t="s">
        <v>1354</v>
      </c>
      <c r="C46" s="13" t="s">
        <v>1355</v>
      </c>
      <c r="D46" s="12" t="s">
        <v>1405</v>
      </c>
      <c r="E46" s="12"/>
      <c r="F46" s="12"/>
      <c r="G46" s="12" t="s">
        <v>1406</v>
      </c>
      <c r="H46" s="13" t="s">
        <v>52</v>
      </c>
      <c r="I46" s="13" t="s">
        <v>460</v>
      </c>
      <c r="J46" s="13" t="s">
        <v>1247</v>
      </c>
      <c r="K46" s="13" t="s">
        <v>1248</v>
      </c>
      <c r="L46" s="13" t="s">
        <v>1358</v>
      </c>
      <c r="M46" s="13" t="s">
        <v>28</v>
      </c>
      <c r="N46" s="13" t="s">
        <v>220</v>
      </c>
      <c r="O46" s="15">
        <f>总览!$C$5+4</f>
        <v>46219</v>
      </c>
      <c r="P46" s="15"/>
      <c r="Q46" s="12"/>
      <c r="R46" s="12"/>
    </row>
    <row r="47" spans="1:18">
      <c r="A47" s="13" t="s">
        <v>1407</v>
      </c>
      <c r="B47" s="13" t="s">
        <v>1354</v>
      </c>
      <c r="C47" s="13" t="s">
        <v>1355</v>
      </c>
      <c r="D47" s="12" t="s">
        <v>1408</v>
      </c>
      <c r="E47" s="12"/>
      <c r="F47" s="12"/>
      <c r="G47" s="12" t="s">
        <v>1409</v>
      </c>
      <c r="H47" s="13" t="s">
        <v>52</v>
      </c>
      <c r="I47" s="13" t="s">
        <v>460</v>
      </c>
      <c r="J47" s="13" t="s">
        <v>1247</v>
      </c>
      <c r="K47" s="13" t="s">
        <v>1248</v>
      </c>
      <c r="L47" s="13" t="s">
        <v>1358</v>
      </c>
      <c r="M47" s="13" t="s">
        <v>28</v>
      </c>
      <c r="N47" s="13" t="s">
        <v>220</v>
      </c>
      <c r="O47" s="15">
        <f>总览!$C$5+4</f>
        <v>46219</v>
      </c>
      <c r="P47" s="15"/>
      <c r="Q47" s="12"/>
      <c r="R47" s="12"/>
    </row>
    <row r="48" spans="1:18">
      <c r="A48" s="13" t="s">
        <v>1410</v>
      </c>
      <c r="B48" s="13" t="s">
        <v>1411</v>
      </c>
      <c r="C48" s="13" t="s">
        <v>1412</v>
      </c>
      <c r="D48" s="12" t="s">
        <v>1413</v>
      </c>
      <c r="E48" s="12"/>
      <c r="F48" s="12"/>
      <c r="G48" s="12" t="s">
        <v>1414</v>
      </c>
      <c r="H48" s="13" t="s">
        <v>52</v>
      </c>
      <c r="I48" s="13" t="s">
        <v>460</v>
      </c>
      <c r="J48" s="13" t="s">
        <v>1247</v>
      </c>
      <c r="K48" s="13" t="s">
        <v>1248</v>
      </c>
      <c r="L48" s="13" t="s">
        <v>1415</v>
      </c>
      <c r="M48" s="13" t="s">
        <v>28</v>
      </c>
      <c r="N48" s="13" t="s">
        <v>220</v>
      </c>
      <c r="O48" s="15">
        <f>总览!$C$5+4</f>
        <v>46219</v>
      </c>
      <c r="P48" s="15"/>
      <c r="Q48" s="12"/>
      <c r="R48" s="12"/>
    </row>
    <row r="49" spans="1:18">
      <c r="A49" s="13" t="s">
        <v>1416</v>
      </c>
      <c r="B49" s="13" t="s">
        <v>1411</v>
      </c>
      <c r="C49" s="13" t="s">
        <v>1412</v>
      </c>
      <c r="D49" s="12" t="s">
        <v>1417</v>
      </c>
      <c r="E49" s="12"/>
      <c r="F49" s="12"/>
      <c r="G49" s="12" t="s">
        <v>1418</v>
      </c>
      <c r="H49" s="13" t="s">
        <v>52</v>
      </c>
      <c r="I49" s="13" t="s">
        <v>460</v>
      </c>
      <c r="J49" s="13" t="s">
        <v>1247</v>
      </c>
      <c r="K49" s="13" t="s">
        <v>1248</v>
      </c>
      <c r="L49" s="13" t="s">
        <v>1415</v>
      </c>
      <c r="M49" s="13" t="s">
        <v>28</v>
      </c>
      <c r="N49" s="13" t="s">
        <v>220</v>
      </c>
      <c r="O49" s="15">
        <f>总览!$C$5+4</f>
        <v>46219</v>
      </c>
      <c r="P49" s="15"/>
      <c r="Q49" s="12"/>
      <c r="R49" s="12"/>
    </row>
    <row r="50" spans="1:18">
      <c r="A50" s="13" t="s">
        <v>1419</v>
      </c>
      <c r="B50" s="13" t="s">
        <v>1411</v>
      </c>
      <c r="C50" s="13" t="s">
        <v>1412</v>
      </c>
      <c r="D50" s="12" t="s">
        <v>1420</v>
      </c>
      <c r="E50" s="12"/>
      <c r="F50" s="12"/>
      <c r="G50" s="12" t="s">
        <v>1421</v>
      </c>
      <c r="H50" s="13" t="s">
        <v>52</v>
      </c>
      <c r="I50" s="13" t="s">
        <v>460</v>
      </c>
      <c r="J50" s="13" t="s">
        <v>1247</v>
      </c>
      <c r="K50" s="13" t="s">
        <v>1248</v>
      </c>
      <c r="L50" s="13" t="s">
        <v>1415</v>
      </c>
      <c r="M50" s="13" t="s">
        <v>28</v>
      </c>
      <c r="N50" s="13" t="s">
        <v>220</v>
      </c>
      <c r="O50" s="15">
        <f>总览!$C$5+4</f>
        <v>46219</v>
      </c>
      <c r="P50" s="15"/>
      <c r="Q50" s="12"/>
      <c r="R50" s="12"/>
    </row>
    <row r="51" spans="1:18">
      <c r="A51" s="13" t="s">
        <v>1422</v>
      </c>
      <c r="B51" s="13" t="s">
        <v>1411</v>
      </c>
      <c r="C51" s="13" t="s">
        <v>1412</v>
      </c>
      <c r="D51" s="12" t="s">
        <v>1423</v>
      </c>
      <c r="E51" s="12"/>
      <c r="F51" s="12"/>
      <c r="G51" s="12" t="s">
        <v>1424</v>
      </c>
      <c r="H51" s="13" t="s">
        <v>52</v>
      </c>
      <c r="I51" s="13" t="s">
        <v>460</v>
      </c>
      <c r="J51" s="13" t="s">
        <v>1247</v>
      </c>
      <c r="K51" s="13" t="s">
        <v>1248</v>
      </c>
      <c r="L51" s="13" t="s">
        <v>1415</v>
      </c>
      <c r="M51" s="13" t="s">
        <v>28</v>
      </c>
      <c r="N51" s="13" t="s">
        <v>220</v>
      </c>
      <c r="O51" s="15">
        <f>总览!$C$5+4</f>
        <v>46219</v>
      </c>
      <c r="P51" s="15"/>
      <c r="Q51" s="12"/>
      <c r="R51" s="12"/>
    </row>
    <row r="52" spans="1:18">
      <c r="A52" s="13" t="s">
        <v>1425</v>
      </c>
      <c r="B52" s="13" t="s">
        <v>1411</v>
      </c>
      <c r="C52" s="13" t="s">
        <v>1412</v>
      </c>
      <c r="D52" s="12" t="s">
        <v>1426</v>
      </c>
      <c r="E52" s="12"/>
      <c r="F52" s="12"/>
      <c r="G52" s="12" t="s">
        <v>1427</v>
      </c>
      <c r="H52" s="13" t="s">
        <v>52</v>
      </c>
      <c r="I52" s="13" t="s">
        <v>460</v>
      </c>
      <c r="J52" s="13" t="s">
        <v>1247</v>
      </c>
      <c r="K52" s="13" t="s">
        <v>1248</v>
      </c>
      <c r="L52" s="13" t="s">
        <v>1415</v>
      </c>
      <c r="M52" s="13" t="s">
        <v>28</v>
      </c>
      <c r="N52" s="13" t="s">
        <v>220</v>
      </c>
      <c r="O52" s="15">
        <f>总览!$C$5+4</f>
        <v>46219</v>
      </c>
      <c r="P52" s="15"/>
      <c r="Q52" s="12"/>
      <c r="R52" s="12"/>
    </row>
    <row r="53" spans="1:18">
      <c r="A53" s="13" t="s">
        <v>1428</v>
      </c>
      <c r="B53" s="13" t="s">
        <v>1411</v>
      </c>
      <c r="C53" s="13" t="s">
        <v>1412</v>
      </c>
      <c r="D53" s="12" t="s">
        <v>1429</v>
      </c>
      <c r="E53" s="12"/>
      <c r="F53" s="12"/>
      <c r="G53" s="12" t="s">
        <v>1430</v>
      </c>
      <c r="H53" s="13" t="s">
        <v>52</v>
      </c>
      <c r="I53" s="13" t="s">
        <v>460</v>
      </c>
      <c r="J53" s="13" t="s">
        <v>1247</v>
      </c>
      <c r="K53" s="13" t="s">
        <v>1248</v>
      </c>
      <c r="L53" s="13" t="s">
        <v>1415</v>
      </c>
      <c r="M53" s="13" t="s">
        <v>28</v>
      </c>
      <c r="N53" s="13" t="s">
        <v>220</v>
      </c>
      <c r="O53" s="15">
        <f>总览!$C$5+4</f>
        <v>46219</v>
      </c>
      <c r="P53" s="15"/>
      <c r="Q53" s="12"/>
      <c r="R53" s="12"/>
    </row>
    <row r="54" spans="1:18">
      <c r="A54" s="13" t="s">
        <v>1431</v>
      </c>
      <c r="B54" s="13" t="s">
        <v>1411</v>
      </c>
      <c r="C54" s="13" t="s">
        <v>1412</v>
      </c>
      <c r="D54" s="12" t="s">
        <v>1432</v>
      </c>
      <c r="E54" s="12"/>
      <c r="F54" s="12"/>
      <c r="G54" s="12" t="s">
        <v>1433</v>
      </c>
      <c r="H54" s="13" t="s">
        <v>52</v>
      </c>
      <c r="I54" s="13" t="s">
        <v>460</v>
      </c>
      <c r="J54" s="13" t="s">
        <v>1247</v>
      </c>
      <c r="K54" s="13" t="s">
        <v>1248</v>
      </c>
      <c r="L54" s="13" t="s">
        <v>1415</v>
      </c>
      <c r="M54" s="13" t="s">
        <v>28</v>
      </c>
      <c r="N54" s="13" t="s">
        <v>220</v>
      </c>
      <c r="O54" s="15">
        <f>总览!$C$5+4</f>
        <v>46219</v>
      </c>
      <c r="P54" s="15"/>
      <c r="Q54" s="12"/>
      <c r="R54" s="12"/>
    </row>
    <row r="55" spans="1:18">
      <c r="A55" s="13" t="s">
        <v>1434</v>
      </c>
      <c r="B55" s="13" t="s">
        <v>1411</v>
      </c>
      <c r="C55" s="13" t="s">
        <v>1412</v>
      </c>
      <c r="D55" s="12" t="s">
        <v>1435</v>
      </c>
      <c r="E55" s="12"/>
      <c r="F55" s="12"/>
      <c r="G55" s="12" t="s">
        <v>1436</v>
      </c>
      <c r="H55" s="13" t="s">
        <v>52</v>
      </c>
      <c r="I55" s="13" t="s">
        <v>460</v>
      </c>
      <c r="J55" s="13" t="s">
        <v>1247</v>
      </c>
      <c r="K55" s="13" t="s">
        <v>1248</v>
      </c>
      <c r="L55" s="13" t="s">
        <v>1415</v>
      </c>
      <c r="M55" s="13" t="s">
        <v>28</v>
      </c>
      <c r="N55" s="13" t="s">
        <v>220</v>
      </c>
      <c r="O55" s="15">
        <f>总览!$C$5+4</f>
        <v>46219</v>
      </c>
      <c r="P55" s="15"/>
      <c r="Q55" s="12"/>
      <c r="R55" s="12"/>
    </row>
    <row r="56" spans="1:18">
      <c r="A56" s="13" t="s">
        <v>1437</v>
      </c>
      <c r="B56" s="13" t="s">
        <v>1411</v>
      </c>
      <c r="C56" s="13" t="s">
        <v>1412</v>
      </c>
      <c r="D56" s="12" t="s">
        <v>1438</v>
      </c>
      <c r="E56" s="12"/>
      <c r="F56" s="12"/>
      <c r="G56" s="12" t="s">
        <v>1439</v>
      </c>
      <c r="H56" s="13" t="s">
        <v>52</v>
      </c>
      <c r="I56" s="13" t="s">
        <v>460</v>
      </c>
      <c r="J56" s="13" t="s">
        <v>1247</v>
      </c>
      <c r="K56" s="13" t="s">
        <v>1248</v>
      </c>
      <c r="L56" s="13" t="s">
        <v>1415</v>
      </c>
      <c r="M56" s="13" t="s">
        <v>28</v>
      </c>
      <c r="N56" s="13" t="s">
        <v>220</v>
      </c>
      <c r="O56" s="15">
        <f>总览!$C$5+4</f>
        <v>46219</v>
      </c>
      <c r="P56" s="15"/>
      <c r="Q56" s="12"/>
      <c r="R56" s="12"/>
    </row>
    <row r="57" spans="1:18">
      <c r="A57" s="13" t="s">
        <v>1440</v>
      </c>
      <c r="B57" s="13" t="s">
        <v>1411</v>
      </c>
      <c r="C57" s="13" t="s">
        <v>1412</v>
      </c>
      <c r="D57" s="12" t="s">
        <v>1441</v>
      </c>
      <c r="E57" s="12"/>
      <c r="F57" s="12"/>
      <c r="G57" s="12" t="s">
        <v>1442</v>
      </c>
      <c r="H57" s="13" t="s">
        <v>52</v>
      </c>
      <c r="I57" s="13" t="s">
        <v>460</v>
      </c>
      <c r="J57" s="13" t="s">
        <v>1247</v>
      </c>
      <c r="K57" s="13" t="s">
        <v>1248</v>
      </c>
      <c r="L57" s="13" t="s">
        <v>1415</v>
      </c>
      <c r="M57" s="13" t="s">
        <v>28</v>
      </c>
      <c r="N57" s="13" t="s">
        <v>220</v>
      </c>
      <c r="O57" s="15">
        <f>总览!$C$5+4</f>
        <v>46219</v>
      </c>
      <c r="P57" s="15"/>
      <c r="Q57" s="12"/>
      <c r="R57" s="12"/>
    </row>
    <row r="58" spans="1:18" ht="23.25">
      <c r="A58" s="13" t="s">
        <v>1443</v>
      </c>
      <c r="B58" s="13" t="s">
        <v>1411</v>
      </c>
      <c r="C58" s="13" t="s">
        <v>1412</v>
      </c>
      <c r="D58" s="12" t="s">
        <v>908</v>
      </c>
      <c r="E58" s="12"/>
      <c r="F58" s="12"/>
      <c r="G58" s="12" t="s">
        <v>1444</v>
      </c>
      <c r="H58" s="13" t="s">
        <v>52</v>
      </c>
      <c r="I58" s="13" t="s">
        <v>460</v>
      </c>
      <c r="J58" s="13" t="s">
        <v>1247</v>
      </c>
      <c r="K58" s="13" t="s">
        <v>1248</v>
      </c>
      <c r="L58" s="13" t="s">
        <v>1415</v>
      </c>
      <c r="M58" s="13" t="s">
        <v>28</v>
      </c>
      <c r="N58" s="13" t="s">
        <v>220</v>
      </c>
      <c r="O58" s="15">
        <f>总览!$C$5+4</f>
        <v>46219</v>
      </c>
      <c r="P58" s="15"/>
      <c r="Q58" s="12"/>
      <c r="R58" s="12"/>
    </row>
    <row r="59" spans="1:18">
      <c r="A59" s="13" t="s">
        <v>1445</v>
      </c>
      <c r="B59" s="13" t="s">
        <v>1411</v>
      </c>
      <c r="C59" s="13" t="s">
        <v>1412</v>
      </c>
      <c r="D59" s="12" t="s">
        <v>1080</v>
      </c>
      <c r="E59" s="12"/>
      <c r="F59" s="12"/>
      <c r="G59" s="12" t="s">
        <v>1446</v>
      </c>
      <c r="H59" s="13" t="s">
        <v>52</v>
      </c>
      <c r="I59" s="13" t="s">
        <v>460</v>
      </c>
      <c r="J59" s="13" t="s">
        <v>1247</v>
      </c>
      <c r="K59" s="13" t="s">
        <v>1248</v>
      </c>
      <c r="L59" s="13" t="s">
        <v>1415</v>
      </c>
      <c r="M59" s="13" t="s">
        <v>28</v>
      </c>
      <c r="N59" s="13" t="s">
        <v>220</v>
      </c>
      <c r="O59" s="15">
        <f>总览!$C$5+4</f>
        <v>46219</v>
      </c>
      <c r="P59" s="15"/>
      <c r="Q59" s="12"/>
      <c r="R59" s="12"/>
    </row>
    <row r="60" spans="1:18">
      <c r="A60" s="13" t="s">
        <v>1447</v>
      </c>
      <c r="B60" s="13" t="s">
        <v>1411</v>
      </c>
      <c r="C60" s="13" t="s">
        <v>1412</v>
      </c>
      <c r="D60" s="12" t="s">
        <v>1448</v>
      </c>
      <c r="E60" s="12"/>
      <c r="F60" s="12"/>
      <c r="G60" s="12" t="s">
        <v>1449</v>
      </c>
      <c r="H60" s="13" t="s">
        <v>52</v>
      </c>
      <c r="I60" s="13" t="s">
        <v>460</v>
      </c>
      <c r="J60" s="13" t="s">
        <v>1247</v>
      </c>
      <c r="K60" s="13" t="s">
        <v>1248</v>
      </c>
      <c r="L60" s="13" t="s">
        <v>1415</v>
      </c>
      <c r="M60" s="13" t="s">
        <v>28</v>
      </c>
      <c r="N60" s="13" t="s">
        <v>220</v>
      </c>
      <c r="O60" s="15">
        <f>总览!$C$5+4</f>
        <v>46219</v>
      </c>
      <c r="P60" s="15"/>
      <c r="Q60" s="12"/>
      <c r="R60" s="12"/>
    </row>
    <row r="61" spans="1:18">
      <c r="A61" s="13" t="s">
        <v>1450</v>
      </c>
      <c r="B61" s="13" t="s">
        <v>1411</v>
      </c>
      <c r="C61" s="13" t="s">
        <v>1412</v>
      </c>
      <c r="D61" s="12" t="s">
        <v>1451</v>
      </c>
      <c r="E61" s="12"/>
      <c r="F61" s="12"/>
      <c r="G61" s="12" t="s">
        <v>1452</v>
      </c>
      <c r="H61" s="13" t="s">
        <v>52</v>
      </c>
      <c r="I61" s="13" t="s">
        <v>460</v>
      </c>
      <c r="J61" s="13" t="s">
        <v>1247</v>
      </c>
      <c r="K61" s="13" t="s">
        <v>1248</v>
      </c>
      <c r="L61" s="13" t="s">
        <v>1415</v>
      </c>
      <c r="M61" s="13" t="s">
        <v>28</v>
      </c>
      <c r="N61" s="13" t="s">
        <v>220</v>
      </c>
      <c r="O61" s="15">
        <f>总览!$C$5+4</f>
        <v>46219</v>
      </c>
      <c r="P61" s="15"/>
      <c r="Q61" s="12"/>
      <c r="R61" s="12"/>
    </row>
    <row r="62" spans="1:18">
      <c r="A62" s="13" t="s">
        <v>1453</v>
      </c>
      <c r="B62" s="13" t="s">
        <v>1411</v>
      </c>
      <c r="C62" s="13" t="s">
        <v>1412</v>
      </c>
      <c r="D62" s="12" t="s">
        <v>1454</v>
      </c>
      <c r="E62" s="12"/>
      <c r="F62" s="12"/>
      <c r="G62" s="12" t="s">
        <v>1455</v>
      </c>
      <c r="H62" s="13" t="s">
        <v>52</v>
      </c>
      <c r="I62" s="13" t="s">
        <v>460</v>
      </c>
      <c r="J62" s="13" t="s">
        <v>1247</v>
      </c>
      <c r="K62" s="13" t="s">
        <v>1248</v>
      </c>
      <c r="L62" s="13" t="s">
        <v>1415</v>
      </c>
      <c r="M62" s="13" t="s">
        <v>28</v>
      </c>
      <c r="N62" s="13" t="s">
        <v>220</v>
      </c>
      <c r="O62" s="15">
        <f>总览!$C$5+4</f>
        <v>46219</v>
      </c>
      <c r="P62" s="15"/>
      <c r="Q62" s="12"/>
      <c r="R62" s="12"/>
    </row>
    <row r="63" spans="1:18">
      <c r="A63" s="13" t="s">
        <v>1456</v>
      </c>
      <c r="B63" s="13" t="s">
        <v>1411</v>
      </c>
      <c r="C63" s="13" t="s">
        <v>1412</v>
      </c>
      <c r="D63" s="12" t="s">
        <v>1457</v>
      </c>
      <c r="E63" s="12"/>
      <c r="F63" s="12"/>
      <c r="G63" s="12" t="s">
        <v>1458</v>
      </c>
      <c r="H63" s="13" t="s">
        <v>52</v>
      </c>
      <c r="I63" s="13" t="s">
        <v>460</v>
      </c>
      <c r="J63" s="13" t="s">
        <v>1247</v>
      </c>
      <c r="K63" s="13" t="s">
        <v>1248</v>
      </c>
      <c r="L63" s="13" t="s">
        <v>1415</v>
      </c>
      <c r="M63" s="13" t="s">
        <v>28</v>
      </c>
      <c r="N63" s="13" t="s">
        <v>220</v>
      </c>
      <c r="O63" s="15">
        <f>总览!$C$5+4</f>
        <v>46219</v>
      </c>
      <c r="P63" s="15"/>
      <c r="Q63" s="12"/>
      <c r="R63" s="12"/>
    </row>
    <row r="64" spans="1:18">
      <c r="A64" s="13" t="s">
        <v>1459</v>
      </c>
      <c r="B64" s="13" t="s">
        <v>1411</v>
      </c>
      <c r="C64" s="13" t="s">
        <v>1412</v>
      </c>
      <c r="D64" s="12" t="s">
        <v>1460</v>
      </c>
      <c r="E64" s="12"/>
      <c r="F64" s="12"/>
      <c r="G64" s="12" t="s">
        <v>1461</v>
      </c>
      <c r="H64" s="13" t="s">
        <v>52</v>
      </c>
      <c r="I64" s="13" t="s">
        <v>460</v>
      </c>
      <c r="J64" s="13" t="s">
        <v>1247</v>
      </c>
      <c r="K64" s="13" t="s">
        <v>1248</v>
      </c>
      <c r="L64" s="13" t="s">
        <v>1415</v>
      </c>
      <c r="M64" s="13" t="s">
        <v>28</v>
      </c>
      <c r="N64" s="13" t="s">
        <v>220</v>
      </c>
      <c r="O64" s="15">
        <f>总览!$C$5+4</f>
        <v>46219</v>
      </c>
      <c r="P64" s="15"/>
      <c r="Q64" s="12"/>
      <c r="R64" s="12"/>
    </row>
    <row r="65" spans="1:18">
      <c r="A65" s="13" t="s">
        <v>1462</v>
      </c>
      <c r="B65" s="13" t="s">
        <v>1411</v>
      </c>
      <c r="C65" s="13" t="s">
        <v>1412</v>
      </c>
      <c r="D65" s="12" t="s">
        <v>1463</v>
      </c>
      <c r="E65" s="12"/>
      <c r="F65" s="12"/>
      <c r="G65" s="12" t="s">
        <v>1464</v>
      </c>
      <c r="H65" s="13" t="s">
        <v>52</v>
      </c>
      <c r="I65" s="13" t="s">
        <v>460</v>
      </c>
      <c r="J65" s="13" t="s">
        <v>1247</v>
      </c>
      <c r="K65" s="13" t="s">
        <v>1248</v>
      </c>
      <c r="L65" s="13" t="s">
        <v>1415</v>
      </c>
      <c r="M65" s="13" t="s">
        <v>28</v>
      </c>
      <c r="N65" s="13" t="s">
        <v>220</v>
      </c>
      <c r="O65" s="15">
        <f>总览!$C$5+4</f>
        <v>46219</v>
      </c>
      <c r="P65" s="15"/>
      <c r="Q65" s="12"/>
      <c r="R65" s="12"/>
    </row>
    <row r="66" spans="1:18">
      <c r="A66" s="13" t="s">
        <v>1465</v>
      </c>
      <c r="B66" s="13" t="s">
        <v>1411</v>
      </c>
      <c r="C66" s="13" t="s">
        <v>1412</v>
      </c>
      <c r="D66" s="12" t="s">
        <v>1466</v>
      </c>
      <c r="E66" s="12"/>
      <c r="F66" s="12"/>
      <c r="G66" s="12" t="s">
        <v>1467</v>
      </c>
      <c r="H66" s="13" t="s">
        <v>52</v>
      </c>
      <c r="I66" s="13" t="s">
        <v>460</v>
      </c>
      <c r="J66" s="13" t="s">
        <v>1247</v>
      </c>
      <c r="K66" s="13" t="s">
        <v>1248</v>
      </c>
      <c r="L66" s="13" t="s">
        <v>1415</v>
      </c>
      <c r="M66" s="13" t="s">
        <v>28</v>
      </c>
      <c r="N66" s="13" t="s">
        <v>220</v>
      </c>
      <c r="O66" s="15">
        <f>总览!$C$5+4</f>
        <v>46219</v>
      </c>
      <c r="P66" s="15"/>
      <c r="Q66" s="12"/>
      <c r="R66" s="12"/>
    </row>
    <row r="67" spans="1:18">
      <c r="A67" s="13" t="s">
        <v>1468</v>
      </c>
      <c r="B67" s="13" t="s">
        <v>1411</v>
      </c>
      <c r="C67" s="13" t="s">
        <v>1412</v>
      </c>
      <c r="D67" s="12" t="s">
        <v>1469</v>
      </c>
      <c r="E67" s="12"/>
      <c r="F67" s="12"/>
      <c r="G67" s="12" t="s">
        <v>1470</v>
      </c>
      <c r="H67" s="13" t="s">
        <v>52</v>
      </c>
      <c r="I67" s="13" t="s">
        <v>460</v>
      </c>
      <c r="J67" s="13" t="s">
        <v>1247</v>
      </c>
      <c r="K67" s="13" t="s">
        <v>1248</v>
      </c>
      <c r="L67" s="13" t="s">
        <v>1415</v>
      </c>
      <c r="M67" s="13" t="s">
        <v>28</v>
      </c>
      <c r="N67" s="13" t="s">
        <v>220</v>
      </c>
      <c r="O67" s="15">
        <f>总览!$C$5+4</f>
        <v>46219</v>
      </c>
      <c r="P67" s="15"/>
      <c r="Q67" s="12"/>
      <c r="R67" s="12"/>
    </row>
    <row r="68" spans="1:18">
      <c r="A68" s="13" t="s">
        <v>1471</v>
      </c>
      <c r="B68" s="13" t="s">
        <v>1411</v>
      </c>
      <c r="C68" s="13" t="s">
        <v>1412</v>
      </c>
      <c r="D68" s="12" t="s">
        <v>1472</v>
      </c>
      <c r="E68" s="12"/>
      <c r="F68" s="12"/>
      <c r="G68" s="12" t="s">
        <v>1473</v>
      </c>
      <c r="H68" s="13" t="s">
        <v>52</v>
      </c>
      <c r="I68" s="13" t="s">
        <v>460</v>
      </c>
      <c r="J68" s="13" t="s">
        <v>1247</v>
      </c>
      <c r="K68" s="13" t="s">
        <v>1248</v>
      </c>
      <c r="L68" s="13" t="s">
        <v>1415</v>
      </c>
      <c r="M68" s="13" t="s">
        <v>28</v>
      </c>
      <c r="N68" s="13" t="s">
        <v>220</v>
      </c>
      <c r="O68" s="15">
        <f>总览!$C$5+4</f>
        <v>46219</v>
      </c>
      <c r="P68" s="15"/>
      <c r="Q68" s="12"/>
      <c r="R68" s="12"/>
    </row>
    <row r="69" spans="1:18" ht="23.25">
      <c r="A69" s="13" t="s">
        <v>1474</v>
      </c>
      <c r="B69" s="13" t="s">
        <v>1411</v>
      </c>
      <c r="C69" s="13" t="s">
        <v>1412</v>
      </c>
      <c r="D69" s="12" t="s">
        <v>1475</v>
      </c>
      <c r="E69" s="12"/>
      <c r="F69" s="12"/>
      <c r="G69" s="12" t="s">
        <v>1476</v>
      </c>
      <c r="H69" s="13" t="s">
        <v>52</v>
      </c>
      <c r="I69" s="13" t="s">
        <v>460</v>
      </c>
      <c r="J69" s="13" t="s">
        <v>1247</v>
      </c>
      <c r="K69" s="13" t="s">
        <v>1248</v>
      </c>
      <c r="L69" s="13" t="s">
        <v>1415</v>
      </c>
      <c r="M69" s="13" t="s">
        <v>28</v>
      </c>
      <c r="N69" s="13" t="s">
        <v>220</v>
      </c>
      <c r="O69" s="15">
        <f>总览!$C$5+4</f>
        <v>46219</v>
      </c>
      <c r="P69" s="15"/>
      <c r="Q69" s="12"/>
      <c r="R69" s="12"/>
    </row>
    <row r="70" spans="1:18">
      <c r="A70" s="13" t="s">
        <v>1477</v>
      </c>
      <c r="B70" s="13" t="s">
        <v>1478</v>
      </c>
      <c r="C70" s="13" t="s">
        <v>1479</v>
      </c>
      <c r="D70" s="12" t="s">
        <v>1253</v>
      </c>
      <c r="E70" s="12"/>
      <c r="F70" s="12"/>
      <c r="G70" s="12" t="s">
        <v>1480</v>
      </c>
      <c r="H70" s="13" t="s">
        <v>52</v>
      </c>
      <c r="I70" s="13" t="s">
        <v>460</v>
      </c>
      <c r="J70" s="13" t="s">
        <v>1247</v>
      </c>
      <c r="K70" s="13" t="s">
        <v>1248</v>
      </c>
      <c r="L70" s="13" t="s">
        <v>282</v>
      </c>
      <c r="M70" s="13" t="s">
        <v>28</v>
      </c>
      <c r="N70" s="13" t="s">
        <v>220</v>
      </c>
      <c r="O70" s="15">
        <f>总览!$C$5+4</f>
        <v>46219</v>
      </c>
      <c r="P70" s="15"/>
      <c r="Q70" s="12"/>
      <c r="R70" s="12"/>
    </row>
    <row r="71" spans="1:18">
      <c r="A71" s="13" t="s">
        <v>1481</v>
      </c>
      <c r="B71" s="13" t="s">
        <v>1478</v>
      </c>
      <c r="C71" s="13" t="s">
        <v>1479</v>
      </c>
      <c r="D71" s="12" t="s">
        <v>1253</v>
      </c>
      <c r="E71" s="12"/>
      <c r="F71" s="12"/>
      <c r="G71" s="12" t="s">
        <v>1482</v>
      </c>
      <c r="H71" s="13" t="s">
        <v>52</v>
      </c>
      <c r="I71" s="13" t="s">
        <v>460</v>
      </c>
      <c r="J71" s="13" t="s">
        <v>1247</v>
      </c>
      <c r="K71" s="13" t="s">
        <v>1248</v>
      </c>
      <c r="L71" s="13" t="s">
        <v>282</v>
      </c>
      <c r="M71" s="13" t="s">
        <v>28</v>
      </c>
      <c r="N71" s="13" t="s">
        <v>220</v>
      </c>
      <c r="O71" s="15">
        <f>总览!$C$5+4</f>
        <v>46219</v>
      </c>
      <c r="P71" s="15"/>
      <c r="Q71" s="12"/>
      <c r="R71" s="12"/>
    </row>
    <row r="72" spans="1:18">
      <c r="A72" s="13" t="s">
        <v>1483</v>
      </c>
      <c r="B72" s="13" t="s">
        <v>1478</v>
      </c>
      <c r="C72" s="13" t="s">
        <v>1479</v>
      </c>
      <c r="D72" s="12" t="s">
        <v>1253</v>
      </c>
      <c r="E72" s="12"/>
      <c r="F72" s="12"/>
      <c r="G72" s="12" t="s">
        <v>1484</v>
      </c>
      <c r="H72" s="13" t="s">
        <v>52</v>
      </c>
      <c r="I72" s="13" t="s">
        <v>460</v>
      </c>
      <c r="J72" s="13" t="s">
        <v>1247</v>
      </c>
      <c r="K72" s="13" t="s">
        <v>1248</v>
      </c>
      <c r="L72" s="13" t="s">
        <v>282</v>
      </c>
      <c r="M72" s="13" t="s">
        <v>28</v>
      </c>
      <c r="N72" s="13" t="s">
        <v>220</v>
      </c>
      <c r="O72" s="15">
        <f>总览!$C$5+4</f>
        <v>46219</v>
      </c>
      <c r="P72" s="15"/>
      <c r="Q72" s="12"/>
      <c r="R72" s="12"/>
    </row>
    <row r="73" spans="1:18">
      <c r="A73" s="13" t="s">
        <v>1485</v>
      </c>
      <c r="B73" s="13" t="s">
        <v>1478</v>
      </c>
      <c r="C73" s="13" t="s">
        <v>1479</v>
      </c>
      <c r="D73" s="12" t="s">
        <v>1253</v>
      </c>
      <c r="E73" s="12"/>
      <c r="F73" s="12"/>
      <c r="G73" s="12" t="s">
        <v>1486</v>
      </c>
      <c r="H73" s="13" t="s">
        <v>52</v>
      </c>
      <c r="I73" s="13" t="s">
        <v>460</v>
      </c>
      <c r="J73" s="13" t="s">
        <v>1247</v>
      </c>
      <c r="K73" s="13" t="s">
        <v>1248</v>
      </c>
      <c r="L73" s="13" t="s">
        <v>282</v>
      </c>
      <c r="M73" s="13" t="s">
        <v>28</v>
      </c>
      <c r="N73" s="13" t="s">
        <v>220</v>
      </c>
      <c r="O73" s="15">
        <f>总览!$C$5+4</f>
        <v>46219</v>
      </c>
      <c r="P73" s="15"/>
      <c r="Q73" s="12"/>
      <c r="R73" s="12"/>
    </row>
    <row r="74" spans="1:18">
      <c r="A74" s="13" t="s">
        <v>1487</v>
      </c>
      <c r="B74" s="13" t="s">
        <v>1478</v>
      </c>
      <c r="C74" s="13" t="s">
        <v>1479</v>
      </c>
      <c r="D74" s="12" t="s">
        <v>1488</v>
      </c>
      <c r="E74" s="12"/>
      <c r="F74" s="12"/>
      <c r="G74" s="12" t="s">
        <v>1489</v>
      </c>
      <c r="H74" s="13" t="s">
        <v>52</v>
      </c>
      <c r="I74" s="13" t="s">
        <v>460</v>
      </c>
      <c r="J74" s="13" t="s">
        <v>1247</v>
      </c>
      <c r="K74" s="13" t="s">
        <v>1248</v>
      </c>
      <c r="L74" s="13" t="s">
        <v>282</v>
      </c>
      <c r="M74" s="13" t="s">
        <v>28</v>
      </c>
      <c r="N74" s="13" t="s">
        <v>220</v>
      </c>
      <c r="O74" s="15">
        <f>总览!$C$5+4</f>
        <v>46219</v>
      </c>
      <c r="P74" s="15"/>
      <c r="Q74" s="12"/>
      <c r="R74" s="12"/>
    </row>
    <row r="75" spans="1:18">
      <c r="A75" s="13" t="s">
        <v>1490</v>
      </c>
      <c r="B75" s="13" t="s">
        <v>1478</v>
      </c>
      <c r="C75" s="13" t="s">
        <v>1479</v>
      </c>
      <c r="D75" s="12" t="s">
        <v>1491</v>
      </c>
      <c r="E75" s="12"/>
      <c r="F75" s="12"/>
      <c r="G75" s="12" t="s">
        <v>1492</v>
      </c>
      <c r="H75" s="13" t="s">
        <v>52</v>
      </c>
      <c r="I75" s="13" t="s">
        <v>460</v>
      </c>
      <c r="J75" s="13" t="s">
        <v>1247</v>
      </c>
      <c r="K75" s="13" t="s">
        <v>1248</v>
      </c>
      <c r="L75" s="13" t="s">
        <v>282</v>
      </c>
      <c r="M75" s="13" t="s">
        <v>28</v>
      </c>
      <c r="N75" s="13" t="s">
        <v>220</v>
      </c>
      <c r="O75" s="15">
        <f>总览!$C$5+4</f>
        <v>46219</v>
      </c>
      <c r="P75" s="15"/>
      <c r="Q75" s="12"/>
      <c r="R75" s="12"/>
    </row>
    <row r="76" spans="1:18">
      <c r="A76" s="13" t="s">
        <v>1493</v>
      </c>
      <c r="B76" s="13" t="s">
        <v>1478</v>
      </c>
      <c r="C76" s="13" t="s">
        <v>1479</v>
      </c>
      <c r="D76" s="12" t="s">
        <v>908</v>
      </c>
      <c r="E76" s="12"/>
      <c r="F76" s="12"/>
      <c r="G76" s="12" t="s">
        <v>1494</v>
      </c>
      <c r="H76" s="13" t="s">
        <v>52</v>
      </c>
      <c r="I76" s="13" t="s">
        <v>460</v>
      </c>
      <c r="J76" s="13" t="s">
        <v>1247</v>
      </c>
      <c r="K76" s="13" t="s">
        <v>1248</v>
      </c>
      <c r="L76" s="13" t="s">
        <v>282</v>
      </c>
      <c r="M76" s="13" t="s">
        <v>28</v>
      </c>
      <c r="N76" s="13" t="s">
        <v>220</v>
      </c>
      <c r="O76" s="15">
        <f>总览!$C$5+4</f>
        <v>46219</v>
      </c>
      <c r="P76" s="15"/>
      <c r="Q76" s="12"/>
      <c r="R76" s="12"/>
    </row>
    <row r="77" spans="1:18">
      <c r="A77" s="13" t="s">
        <v>1495</v>
      </c>
      <c r="B77" s="13" t="s">
        <v>1478</v>
      </c>
      <c r="C77" s="13" t="s">
        <v>1479</v>
      </c>
      <c r="D77" s="12" t="s">
        <v>1496</v>
      </c>
      <c r="E77" s="12"/>
      <c r="F77" s="12"/>
      <c r="G77" s="12" t="s">
        <v>1497</v>
      </c>
      <c r="H77" s="13" t="s">
        <v>52</v>
      </c>
      <c r="I77" s="13" t="s">
        <v>460</v>
      </c>
      <c r="J77" s="13" t="s">
        <v>1247</v>
      </c>
      <c r="K77" s="13" t="s">
        <v>1248</v>
      </c>
      <c r="L77" s="13" t="s">
        <v>282</v>
      </c>
      <c r="M77" s="13" t="s">
        <v>28</v>
      </c>
      <c r="N77" s="13" t="s">
        <v>220</v>
      </c>
      <c r="O77" s="15">
        <f>总览!$C$5+4</f>
        <v>46219</v>
      </c>
      <c r="P77" s="15"/>
      <c r="Q77" s="12"/>
      <c r="R77" s="12"/>
    </row>
    <row r="78" spans="1:18">
      <c r="A78" s="13" t="s">
        <v>1498</v>
      </c>
      <c r="B78" s="13" t="s">
        <v>1478</v>
      </c>
      <c r="C78" s="13" t="s">
        <v>1479</v>
      </c>
      <c r="D78" s="12" t="s">
        <v>1499</v>
      </c>
      <c r="E78" s="12"/>
      <c r="F78" s="12"/>
      <c r="G78" s="12" t="s">
        <v>1500</v>
      </c>
      <c r="H78" s="13" t="s">
        <v>52</v>
      </c>
      <c r="I78" s="13" t="s">
        <v>460</v>
      </c>
      <c r="J78" s="13" t="s">
        <v>1247</v>
      </c>
      <c r="K78" s="13" t="s">
        <v>1248</v>
      </c>
      <c r="L78" s="13" t="s">
        <v>282</v>
      </c>
      <c r="M78" s="13" t="s">
        <v>28</v>
      </c>
      <c r="N78" s="13" t="s">
        <v>220</v>
      </c>
      <c r="O78" s="15">
        <f>总览!$C$5+4</f>
        <v>46219</v>
      </c>
      <c r="P78" s="15"/>
      <c r="Q78" s="12"/>
      <c r="R78" s="12"/>
    </row>
    <row r="79" spans="1:18">
      <c r="A79" s="13" t="s">
        <v>1501</v>
      </c>
      <c r="B79" s="13" t="s">
        <v>1478</v>
      </c>
      <c r="C79" s="13" t="s">
        <v>1479</v>
      </c>
      <c r="D79" s="12" t="s">
        <v>1502</v>
      </c>
      <c r="E79" s="12"/>
      <c r="F79" s="12"/>
      <c r="G79" s="12" t="s">
        <v>1503</v>
      </c>
      <c r="H79" s="13" t="s">
        <v>52</v>
      </c>
      <c r="I79" s="13" t="s">
        <v>460</v>
      </c>
      <c r="J79" s="13" t="s">
        <v>1247</v>
      </c>
      <c r="K79" s="13" t="s">
        <v>1248</v>
      </c>
      <c r="L79" s="13" t="s">
        <v>282</v>
      </c>
      <c r="M79" s="13" t="s">
        <v>28</v>
      </c>
      <c r="N79" s="13" t="s">
        <v>220</v>
      </c>
      <c r="O79" s="15">
        <f>总览!$C$5+4</f>
        <v>46219</v>
      </c>
      <c r="P79" s="15"/>
      <c r="Q79" s="12"/>
      <c r="R79" s="12"/>
    </row>
    <row r="80" spans="1:18">
      <c r="A80" s="13" t="s">
        <v>1504</v>
      </c>
      <c r="B80" s="13" t="s">
        <v>1505</v>
      </c>
      <c r="C80" s="13" t="s">
        <v>1506</v>
      </c>
      <c r="D80" s="12" t="s">
        <v>1507</v>
      </c>
      <c r="E80" s="12"/>
      <c r="F80" s="12"/>
      <c r="G80" s="12" t="s">
        <v>1508</v>
      </c>
      <c r="H80" s="13" t="s">
        <v>52</v>
      </c>
      <c r="I80" s="13" t="s">
        <v>460</v>
      </c>
      <c r="J80" s="13" t="s">
        <v>1247</v>
      </c>
      <c r="K80" s="13" t="s">
        <v>1248</v>
      </c>
      <c r="L80" s="13" t="s">
        <v>1509</v>
      </c>
      <c r="M80" s="13" t="s">
        <v>28</v>
      </c>
      <c r="N80" s="13" t="s">
        <v>220</v>
      </c>
      <c r="O80" s="15">
        <f>总览!$C$5+4</f>
        <v>46219</v>
      </c>
      <c r="P80" s="15"/>
      <c r="Q80" s="12"/>
      <c r="R80" s="12"/>
    </row>
    <row r="81" spans="1:18">
      <c r="A81" s="13" t="s">
        <v>1510</v>
      </c>
      <c r="B81" s="13" t="s">
        <v>1505</v>
      </c>
      <c r="C81" s="13" t="s">
        <v>1506</v>
      </c>
      <c r="D81" s="12" t="s">
        <v>1511</v>
      </c>
      <c r="E81" s="12"/>
      <c r="F81" s="12"/>
      <c r="G81" s="12" t="s">
        <v>1512</v>
      </c>
      <c r="H81" s="13" t="s">
        <v>52</v>
      </c>
      <c r="I81" s="13" t="s">
        <v>460</v>
      </c>
      <c r="J81" s="13" t="s">
        <v>1247</v>
      </c>
      <c r="K81" s="13" t="s">
        <v>1248</v>
      </c>
      <c r="L81" s="13" t="s">
        <v>1509</v>
      </c>
      <c r="M81" s="13" t="s">
        <v>28</v>
      </c>
      <c r="N81" s="13" t="s">
        <v>220</v>
      </c>
      <c r="O81" s="15">
        <f>总览!$C$5+4</f>
        <v>46219</v>
      </c>
      <c r="P81" s="15"/>
      <c r="Q81" s="12"/>
      <c r="R81" s="12"/>
    </row>
    <row r="82" spans="1:18">
      <c r="A82" s="13" t="s">
        <v>1513</v>
      </c>
      <c r="B82" s="13" t="s">
        <v>1505</v>
      </c>
      <c r="C82" s="13" t="s">
        <v>1506</v>
      </c>
      <c r="D82" s="12" t="s">
        <v>1514</v>
      </c>
      <c r="E82" s="12"/>
      <c r="F82" s="12"/>
      <c r="G82" s="12" t="s">
        <v>1515</v>
      </c>
      <c r="H82" s="13" t="s">
        <v>52</v>
      </c>
      <c r="I82" s="13" t="s">
        <v>460</v>
      </c>
      <c r="J82" s="13" t="s">
        <v>1247</v>
      </c>
      <c r="K82" s="13" t="s">
        <v>1248</v>
      </c>
      <c r="L82" s="13" t="s">
        <v>1509</v>
      </c>
      <c r="M82" s="13" t="s">
        <v>28</v>
      </c>
      <c r="N82" s="13" t="s">
        <v>220</v>
      </c>
      <c r="O82" s="15">
        <f>总览!$C$5+4</f>
        <v>46219</v>
      </c>
      <c r="P82" s="15"/>
      <c r="Q82" s="12"/>
      <c r="R82" s="12"/>
    </row>
    <row r="83" spans="1:18">
      <c r="A83" s="13" t="s">
        <v>1516</v>
      </c>
      <c r="B83" s="13" t="s">
        <v>1505</v>
      </c>
      <c r="C83" s="13" t="s">
        <v>1506</v>
      </c>
      <c r="D83" s="12" t="s">
        <v>1517</v>
      </c>
      <c r="E83" s="12"/>
      <c r="F83" s="12"/>
      <c r="G83" s="12" t="s">
        <v>1518</v>
      </c>
      <c r="H83" s="13" t="s">
        <v>52</v>
      </c>
      <c r="I83" s="13" t="s">
        <v>460</v>
      </c>
      <c r="J83" s="13" t="s">
        <v>1247</v>
      </c>
      <c r="K83" s="13" t="s">
        <v>1248</v>
      </c>
      <c r="L83" s="13" t="s">
        <v>1509</v>
      </c>
      <c r="M83" s="13" t="s">
        <v>28</v>
      </c>
      <c r="N83" s="13" t="s">
        <v>220</v>
      </c>
      <c r="O83" s="15">
        <f>总览!$C$5+4</f>
        <v>46219</v>
      </c>
      <c r="P83" s="15"/>
      <c r="Q83" s="12"/>
      <c r="R83" s="12"/>
    </row>
    <row r="84" spans="1:18">
      <c r="A84" s="13" t="s">
        <v>1519</v>
      </c>
      <c r="B84" s="13" t="s">
        <v>1505</v>
      </c>
      <c r="C84" s="13" t="s">
        <v>1506</v>
      </c>
      <c r="D84" s="12" t="s">
        <v>1517</v>
      </c>
      <c r="E84" s="12"/>
      <c r="F84" s="12"/>
      <c r="G84" s="12" t="s">
        <v>1520</v>
      </c>
      <c r="H84" s="13" t="s">
        <v>52</v>
      </c>
      <c r="I84" s="13" t="s">
        <v>460</v>
      </c>
      <c r="J84" s="13" t="s">
        <v>1247</v>
      </c>
      <c r="K84" s="13" t="s">
        <v>1248</v>
      </c>
      <c r="L84" s="13" t="s">
        <v>1509</v>
      </c>
      <c r="M84" s="13" t="s">
        <v>28</v>
      </c>
      <c r="N84" s="13" t="s">
        <v>220</v>
      </c>
      <c r="O84" s="15">
        <f>总览!$C$5+4</f>
        <v>46219</v>
      </c>
      <c r="P84" s="15"/>
      <c r="Q84" s="12"/>
      <c r="R84" s="12"/>
    </row>
    <row r="85" spans="1:18">
      <c r="A85" s="13" t="s">
        <v>1521</v>
      </c>
      <c r="B85" s="13" t="s">
        <v>1505</v>
      </c>
      <c r="C85" s="13" t="s">
        <v>1506</v>
      </c>
      <c r="D85" s="12" t="s">
        <v>1517</v>
      </c>
      <c r="E85" s="12"/>
      <c r="F85" s="12"/>
      <c r="G85" s="12" t="s">
        <v>1522</v>
      </c>
      <c r="H85" s="13" t="s">
        <v>52</v>
      </c>
      <c r="I85" s="13" t="s">
        <v>460</v>
      </c>
      <c r="J85" s="13" t="s">
        <v>1247</v>
      </c>
      <c r="K85" s="13" t="s">
        <v>1248</v>
      </c>
      <c r="L85" s="13" t="s">
        <v>1509</v>
      </c>
      <c r="M85" s="13" t="s">
        <v>28</v>
      </c>
      <c r="N85" s="13" t="s">
        <v>220</v>
      </c>
      <c r="O85" s="15">
        <f>总览!$C$5+4</f>
        <v>46219</v>
      </c>
      <c r="P85" s="15"/>
      <c r="Q85" s="12"/>
      <c r="R85" s="12"/>
    </row>
    <row r="86" spans="1:18">
      <c r="A86" s="13" t="s">
        <v>1523</v>
      </c>
      <c r="B86" s="13" t="s">
        <v>1505</v>
      </c>
      <c r="C86" s="13" t="s">
        <v>1524</v>
      </c>
      <c r="D86" s="12" t="s">
        <v>1525</v>
      </c>
      <c r="E86" s="12"/>
      <c r="F86" s="12"/>
      <c r="G86" s="12" t="s">
        <v>1526</v>
      </c>
      <c r="H86" s="13" t="s">
        <v>52</v>
      </c>
      <c r="I86" s="13" t="s">
        <v>460</v>
      </c>
      <c r="J86" s="13" t="s">
        <v>1247</v>
      </c>
      <c r="K86" s="13" t="s">
        <v>1248</v>
      </c>
      <c r="L86" s="13" t="s">
        <v>1509</v>
      </c>
      <c r="M86" s="13" t="s">
        <v>28</v>
      </c>
      <c r="N86" s="13" t="s">
        <v>220</v>
      </c>
      <c r="O86" s="15">
        <f>总览!$C$5+4</f>
        <v>46219</v>
      </c>
      <c r="P86" s="15"/>
      <c r="Q86" s="12"/>
      <c r="R86" s="12"/>
    </row>
    <row r="87" spans="1:18">
      <c r="A87" s="13" t="s">
        <v>1527</v>
      </c>
      <c r="B87" s="13" t="s">
        <v>1505</v>
      </c>
      <c r="C87" s="13" t="s">
        <v>1524</v>
      </c>
      <c r="D87" s="12" t="s">
        <v>1528</v>
      </c>
      <c r="E87" s="12"/>
      <c r="F87" s="12"/>
      <c r="G87" s="12" t="s">
        <v>1529</v>
      </c>
      <c r="H87" s="13" t="s">
        <v>52</v>
      </c>
      <c r="I87" s="13" t="s">
        <v>460</v>
      </c>
      <c r="J87" s="13" t="s">
        <v>1247</v>
      </c>
      <c r="K87" s="13" t="s">
        <v>1248</v>
      </c>
      <c r="L87" s="13" t="s">
        <v>1509</v>
      </c>
      <c r="M87" s="13" t="s">
        <v>28</v>
      </c>
      <c r="N87" s="13" t="s">
        <v>220</v>
      </c>
      <c r="O87" s="15">
        <f>总览!$C$5+4</f>
        <v>46219</v>
      </c>
      <c r="P87" s="15"/>
      <c r="Q87" s="12"/>
      <c r="R87" s="12"/>
    </row>
    <row r="88" spans="1:18">
      <c r="A88" s="13" t="s">
        <v>1530</v>
      </c>
      <c r="B88" s="13" t="s">
        <v>1505</v>
      </c>
      <c r="C88" s="13" t="s">
        <v>1524</v>
      </c>
      <c r="D88" s="12" t="s">
        <v>1531</v>
      </c>
      <c r="E88" s="12"/>
      <c r="F88" s="12"/>
      <c r="G88" s="12" t="s">
        <v>1532</v>
      </c>
      <c r="H88" s="13" t="s">
        <v>52</v>
      </c>
      <c r="I88" s="13" t="s">
        <v>460</v>
      </c>
      <c r="J88" s="13" t="s">
        <v>1247</v>
      </c>
      <c r="K88" s="13" t="s">
        <v>1248</v>
      </c>
      <c r="L88" s="13" t="s">
        <v>1509</v>
      </c>
      <c r="M88" s="13" t="s">
        <v>28</v>
      </c>
      <c r="N88" s="13" t="s">
        <v>220</v>
      </c>
      <c r="O88" s="15">
        <f>总览!$C$5+4</f>
        <v>46219</v>
      </c>
      <c r="P88" s="15"/>
      <c r="Q88" s="12"/>
      <c r="R88" s="12"/>
    </row>
    <row r="89" spans="1:18">
      <c r="A89" s="13" t="s">
        <v>1533</v>
      </c>
      <c r="B89" s="13" t="s">
        <v>1505</v>
      </c>
      <c r="C89" s="13" t="s">
        <v>1524</v>
      </c>
      <c r="D89" s="12" t="s">
        <v>1534</v>
      </c>
      <c r="E89" s="12"/>
      <c r="F89" s="12"/>
      <c r="G89" s="12" t="s">
        <v>1535</v>
      </c>
      <c r="H89" s="13" t="s">
        <v>52</v>
      </c>
      <c r="I89" s="13" t="s">
        <v>460</v>
      </c>
      <c r="J89" s="13" t="s">
        <v>1247</v>
      </c>
      <c r="K89" s="13" t="s">
        <v>1248</v>
      </c>
      <c r="L89" s="13" t="s">
        <v>1509</v>
      </c>
      <c r="M89" s="13" t="s">
        <v>28</v>
      </c>
      <c r="N89" s="13" t="s">
        <v>220</v>
      </c>
      <c r="O89" s="15">
        <f>总览!$C$5+4</f>
        <v>46219</v>
      </c>
      <c r="P89" s="15"/>
      <c r="Q89" s="12"/>
      <c r="R89" s="12"/>
    </row>
    <row r="90" spans="1:18">
      <c r="A90" s="13" t="s">
        <v>1536</v>
      </c>
      <c r="B90" s="13" t="s">
        <v>1505</v>
      </c>
      <c r="C90" s="13" t="s">
        <v>1524</v>
      </c>
      <c r="D90" s="12" t="s">
        <v>1537</v>
      </c>
      <c r="E90" s="12"/>
      <c r="F90" s="12"/>
      <c r="G90" s="12" t="s">
        <v>1538</v>
      </c>
      <c r="H90" s="13" t="s">
        <v>52</v>
      </c>
      <c r="I90" s="13" t="s">
        <v>460</v>
      </c>
      <c r="J90" s="13" t="s">
        <v>1247</v>
      </c>
      <c r="K90" s="13" t="s">
        <v>1248</v>
      </c>
      <c r="L90" s="13" t="s">
        <v>1509</v>
      </c>
      <c r="M90" s="13" t="s">
        <v>28</v>
      </c>
      <c r="N90" s="13" t="s">
        <v>220</v>
      </c>
      <c r="O90" s="15">
        <f>总览!$C$5+4</f>
        <v>46219</v>
      </c>
      <c r="P90" s="15"/>
      <c r="Q90" s="12"/>
      <c r="R90" s="12"/>
    </row>
    <row r="91" spans="1:18">
      <c r="A91" s="13" t="s">
        <v>1539</v>
      </c>
      <c r="B91" s="13" t="s">
        <v>1505</v>
      </c>
      <c r="C91" s="13" t="s">
        <v>1524</v>
      </c>
      <c r="D91" s="12" t="s">
        <v>1540</v>
      </c>
      <c r="E91" s="12"/>
      <c r="F91" s="12"/>
      <c r="G91" s="12" t="s">
        <v>1541</v>
      </c>
      <c r="H91" s="13" t="s">
        <v>52</v>
      </c>
      <c r="I91" s="13" t="s">
        <v>460</v>
      </c>
      <c r="J91" s="13" t="s">
        <v>1247</v>
      </c>
      <c r="K91" s="13" t="s">
        <v>1248</v>
      </c>
      <c r="L91" s="13" t="s">
        <v>1509</v>
      </c>
      <c r="M91" s="13" t="s">
        <v>28</v>
      </c>
      <c r="N91" s="13" t="s">
        <v>220</v>
      </c>
      <c r="O91" s="15">
        <f>总览!$C$5+4</f>
        <v>46219</v>
      </c>
      <c r="P91" s="15"/>
      <c r="Q91" s="12"/>
      <c r="R91" s="12"/>
    </row>
    <row r="92" spans="1:18" ht="23.25">
      <c r="A92" s="13" t="s">
        <v>1542</v>
      </c>
      <c r="B92" s="13" t="s">
        <v>1505</v>
      </c>
      <c r="C92" s="13" t="s">
        <v>1524</v>
      </c>
      <c r="D92" s="12" t="s">
        <v>1543</v>
      </c>
      <c r="E92" s="12"/>
      <c r="F92" s="12"/>
      <c r="G92" s="12" t="s">
        <v>1544</v>
      </c>
      <c r="H92" s="13" t="s">
        <v>52</v>
      </c>
      <c r="I92" s="13" t="s">
        <v>460</v>
      </c>
      <c r="J92" s="13" t="s">
        <v>1247</v>
      </c>
      <c r="K92" s="13" t="s">
        <v>1248</v>
      </c>
      <c r="L92" s="13" t="s">
        <v>1509</v>
      </c>
      <c r="M92" s="13" t="s">
        <v>28</v>
      </c>
      <c r="N92" s="13" t="s">
        <v>220</v>
      </c>
      <c r="O92" s="15">
        <f>总览!$C$5+4</f>
        <v>46219</v>
      </c>
      <c r="P92" s="15"/>
      <c r="Q92" s="12"/>
      <c r="R92" s="12"/>
    </row>
    <row r="93" spans="1:18">
      <c r="A93" s="13" t="s">
        <v>1545</v>
      </c>
      <c r="B93" s="13" t="s">
        <v>1505</v>
      </c>
      <c r="C93" s="13" t="s">
        <v>1524</v>
      </c>
      <c r="D93" s="12" t="s">
        <v>1546</v>
      </c>
      <c r="E93" s="12"/>
      <c r="F93" s="12"/>
      <c r="G93" s="12" t="s">
        <v>1547</v>
      </c>
      <c r="H93" s="13" t="s">
        <v>52</v>
      </c>
      <c r="I93" s="13" t="s">
        <v>460</v>
      </c>
      <c r="J93" s="13" t="s">
        <v>1247</v>
      </c>
      <c r="K93" s="13" t="s">
        <v>1248</v>
      </c>
      <c r="L93" s="13" t="s">
        <v>1509</v>
      </c>
      <c r="M93" s="13" t="s">
        <v>28</v>
      </c>
      <c r="N93" s="13" t="s">
        <v>220</v>
      </c>
      <c r="O93" s="15">
        <f>总览!$C$5+4</f>
        <v>46219</v>
      </c>
      <c r="P93" s="15"/>
      <c r="Q93" s="12"/>
      <c r="R93" s="12"/>
    </row>
    <row r="94" spans="1:18">
      <c r="A94" s="13" t="s">
        <v>1548</v>
      </c>
      <c r="B94" s="13" t="s">
        <v>1505</v>
      </c>
      <c r="C94" s="13" t="s">
        <v>1524</v>
      </c>
      <c r="D94" s="12" t="s">
        <v>1549</v>
      </c>
      <c r="E94" s="12"/>
      <c r="F94" s="12"/>
      <c r="G94" s="12" t="s">
        <v>1550</v>
      </c>
      <c r="H94" s="13" t="s">
        <v>52</v>
      </c>
      <c r="I94" s="13" t="s">
        <v>460</v>
      </c>
      <c r="J94" s="13" t="s">
        <v>1247</v>
      </c>
      <c r="K94" s="13" t="s">
        <v>1248</v>
      </c>
      <c r="L94" s="13" t="s">
        <v>1509</v>
      </c>
      <c r="M94" s="13" t="s">
        <v>28</v>
      </c>
      <c r="N94" s="13" t="s">
        <v>220</v>
      </c>
      <c r="O94" s="15">
        <f>总览!$C$5+4</f>
        <v>46219</v>
      </c>
      <c r="P94" s="15"/>
      <c r="Q94" s="12"/>
      <c r="R94" s="12"/>
    </row>
    <row r="95" spans="1:18">
      <c r="A95" s="13" t="s">
        <v>1551</v>
      </c>
      <c r="B95" s="13" t="s">
        <v>1505</v>
      </c>
      <c r="C95" s="13" t="s">
        <v>1524</v>
      </c>
      <c r="D95" s="12" t="s">
        <v>1552</v>
      </c>
      <c r="E95" s="12"/>
      <c r="F95" s="12"/>
      <c r="G95" s="12" t="s">
        <v>1553</v>
      </c>
      <c r="H95" s="13" t="s">
        <v>52</v>
      </c>
      <c r="I95" s="13" t="s">
        <v>460</v>
      </c>
      <c r="J95" s="13" t="s">
        <v>1247</v>
      </c>
      <c r="K95" s="13" t="s">
        <v>1248</v>
      </c>
      <c r="L95" s="13" t="s">
        <v>1509</v>
      </c>
      <c r="M95" s="13" t="s">
        <v>28</v>
      </c>
      <c r="N95" s="13" t="s">
        <v>220</v>
      </c>
      <c r="O95" s="15">
        <f>总览!$C$5+4</f>
        <v>46219</v>
      </c>
      <c r="P95" s="15"/>
      <c r="Q95" s="12"/>
      <c r="R95" s="12"/>
    </row>
    <row r="96" spans="1:18">
      <c r="A96" s="13" t="s">
        <v>1554</v>
      </c>
      <c r="B96" s="13" t="s">
        <v>1555</v>
      </c>
      <c r="C96" s="13" t="s">
        <v>1556</v>
      </c>
      <c r="D96" s="12" t="s">
        <v>1557</v>
      </c>
      <c r="E96" s="12"/>
      <c r="F96" s="12"/>
      <c r="G96" s="12" t="s">
        <v>1558</v>
      </c>
      <c r="H96" s="13" t="s">
        <v>52</v>
      </c>
      <c r="I96" s="13" t="s">
        <v>460</v>
      </c>
      <c r="J96" s="13" t="s">
        <v>1247</v>
      </c>
      <c r="K96" s="13" t="s">
        <v>1248</v>
      </c>
      <c r="L96" s="13" t="s">
        <v>1559</v>
      </c>
      <c r="M96" s="13" t="s">
        <v>28</v>
      </c>
      <c r="N96" s="13" t="s">
        <v>220</v>
      </c>
      <c r="O96" s="15">
        <f>总览!$C$5+4</f>
        <v>46219</v>
      </c>
      <c r="P96" s="15"/>
      <c r="Q96" s="12"/>
      <c r="R96" s="12"/>
    </row>
    <row r="97" spans="1:18">
      <c r="A97" s="13" t="s">
        <v>1560</v>
      </c>
      <c r="B97" s="13" t="s">
        <v>1555</v>
      </c>
      <c r="C97" s="13" t="s">
        <v>1556</v>
      </c>
      <c r="D97" s="12" t="s">
        <v>1561</v>
      </c>
      <c r="E97" s="12"/>
      <c r="F97" s="12"/>
      <c r="G97" s="12" t="s">
        <v>1562</v>
      </c>
      <c r="H97" s="13" t="s">
        <v>52</v>
      </c>
      <c r="I97" s="13" t="s">
        <v>460</v>
      </c>
      <c r="J97" s="13" t="s">
        <v>1247</v>
      </c>
      <c r="K97" s="13" t="s">
        <v>1248</v>
      </c>
      <c r="L97" s="13" t="s">
        <v>1559</v>
      </c>
      <c r="M97" s="13" t="s">
        <v>28</v>
      </c>
      <c r="N97" s="13" t="s">
        <v>220</v>
      </c>
      <c r="O97" s="15">
        <f>总览!$C$5+4</f>
        <v>46219</v>
      </c>
      <c r="P97" s="15"/>
      <c r="Q97" s="12"/>
      <c r="R97" s="12"/>
    </row>
    <row r="98" spans="1:18">
      <c r="A98" s="13" t="s">
        <v>1563</v>
      </c>
      <c r="B98" s="13" t="s">
        <v>1555</v>
      </c>
      <c r="C98" s="13" t="s">
        <v>1556</v>
      </c>
      <c r="D98" s="12" t="s">
        <v>1564</v>
      </c>
      <c r="E98" s="12"/>
      <c r="F98" s="12"/>
      <c r="G98" s="12" t="s">
        <v>1565</v>
      </c>
      <c r="H98" s="13" t="s">
        <v>52</v>
      </c>
      <c r="I98" s="13" t="s">
        <v>460</v>
      </c>
      <c r="J98" s="13" t="s">
        <v>1247</v>
      </c>
      <c r="K98" s="13" t="s">
        <v>1248</v>
      </c>
      <c r="L98" s="13" t="s">
        <v>1559</v>
      </c>
      <c r="M98" s="13" t="s">
        <v>28</v>
      </c>
      <c r="N98" s="13" t="s">
        <v>220</v>
      </c>
      <c r="O98" s="15">
        <f>总览!$C$5+4</f>
        <v>46219</v>
      </c>
      <c r="P98" s="15"/>
      <c r="Q98" s="12"/>
      <c r="R98" s="12"/>
    </row>
    <row r="99" spans="1:18">
      <c r="A99" s="13" t="s">
        <v>1566</v>
      </c>
      <c r="B99" s="13" t="s">
        <v>1555</v>
      </c>
      <c r="C99" s="13" t="s">
        <v>1556</v>
      </c>
      <c r="D99" s="12" t="s">
        <v>1567</v>
      </c>
      <c r="E99" s="12"/>
      <c r="F99" s="12"/>
      <c r="G99" s="12" t="s">
        <v>1568</v>
      </c>
      <c r="H99" s="13" t="s">
        <v>52</v>
      </c>
      <c r="I99" s="13" t="s">
        <v>460</v>
      </c>
      <c r="J99" s="13" t="s">
        <v>1247</v>
      </c>
      <c r="K99" s="13" t="s">
        <v>1248</v>
      </c>
      <c r="L99" s="13" t="s">
        <v>1559</v>
      </c>
      <c r="M99" s="13" t="s">
        <v>28</v>
      </c>
      <c r="N99" s="13" t="s">
        <v>220</v>
      </c>
      <c r="O99" s="15">
        <f>总览!$C$5+4</f>
        <v>46219</v>
      </c>
      <c r="P99" s="15"/>
      <c r="Q99" s="12"/>
      <c r="R99" s="12"/>
    </row>
    <row r="100" spans="1:18">
      <c r="A100" s="13" t="s">
        <v>1569</v>
      </c>
      <c r="B100" s="13" t="s">
        <v>1555</v>
      </c>
      <c r="C100" s="13" t="s">
        <v>1556</v>
      </c>
      <c r="D100" s="12" t="s">
        <v>1570</v>
      </c>
      <c r="E100" s="12"/>
      <c r="F100" s="12"/>
      <c r="G100" s="12" t="s">
        <v>1571</v>
      </c>
      <c r="H100" s="13" t="s">
        <v>52</v>
      </c>
      <c r="I100" s="13" t="s">
        <v>460</v>
      </c>
      <c r="J100" s="13" t="s">
        <v>1247</v>
      </c>
      <c r="K100" s="13" t="s">
        <v>1248</v>
      </c>
      <c r="L100" s="13" t="s">
        <v>1559</v>
      </c>
      <c r="M100" s="13" t="s">
        <v>28</v>
      </c>
      <c r="N100" s="13" t="s">
        <v>220</v>
      </c>
      <c r="O100" s="15">
        <f>总览!$C$5+4</f>
        <v>46219</v>
      </c>
      <c r="P100" s="15"/>
      <c r="Q100" s="12"/>
      <c r="R100" s="12"/>
    </row>
    <row r="101" spans="1:18">
      <c r="A101" s="13" t="s">
        <v>1572</v>
      </c>
      <c r="B101" s="13" t="s">
        <v>1555</v>
      </c>
      <c r="C101" s="13" t="s">
        <v>1556</v>
      </c>
      <c r="D101" s="12" t="s">
        <v>1573</v>
      </c>
      <c r="E101" s="12"/>
      <c r="F101" s="12"/>
      <c r="G101" s="12" t="s">
        <v>1574</v>
      </c>
      <c r="H101" s="13" t="s">
        <v>52</v>
      </c>
      <c r="I101" s="13" t="s">
        <v>460</v>
      </c>
      <c r="J101" s="13" t="s">
        <v>1247</v>
      </c>
      <c r="K101" s="13" t="s">
        <v>1248</v>
      </c>
      <c r="L101" s="13" t="s">
        <v>1559</v>
      </c>
      <c r="M101" s="13" t="s">
        <v>28</v>
      </c>
      <c r="N101" s="13" t="s">
        <v>220</v>
      </c>
      <c r="O101" s="15">
        <f>总览!$C$5+4</f>
        <v>46219</v>
      </c>
      <c r="P101" s="15"/>
      <c r="Q101" s="12"/>
      <c r="R101" s="12"/>
    </row>
    <row r="102" spans="1:18">
      <c r="A102" s="13" t="s">
        <v>1575</v>
      </c>
      <c r="B102" s="13" t="s">
        <v>1555</v>
      </c>
      <c r="C102" s="13" t="s">
        <v>1556</v>
      </c>
      <c r="D102" s="12" t="s">
        <v>1576</v>
      </c>
      <c r="E102" s="12"/>
      <c r="F102" s="12"/>
      <c r="G102" s="12" t="s">
        <v>1577</v>
      </c>
      <c r="H102" s="13" t="s">
        <v>52</v>
      </c>
      <c r="I102" s="13" t="s">
        <v>460</v>
      </c>
      <c r="J102" s="13" t="s">
        <v>1247</v>
      </c>
      <c r="K102" s="13" t="s">
        <v>1248</v>
      </c>
      <c r="L102" s="13" t="s">
        <v>1559</v>
      </c>
      <c r="M102" s="13" t="s">
        <v>28</v>
      </c>
      <c r="N102" s="13" t="s">
        <v>220</v>
      </c>
      <c r="O102" s="15">
        <f>总览!$C$5+4</f>
        <v>46219</v>
      </c>
      <c r="P102" s="15"/>
      <c r="Q102" s="12"/>
      <c r="R102" s="12"/>
    </row>
    <row r="103" spans="1:18">
      <c r="A103" s="13" t="s">
        <v>1578</v>
      </c>
      <c r="B103" s="13" t="s">
        <v>1555</v>
      </c>
      <c r="C103" s="13" t="s">
        <v>1556</v>
      </c>
      <c r="D103" s="12" t="s">
        <v>1579</v>
      </c>
      <c r="E103" s="12"/>
      <c r="F103" s="12"/>
      <c r="G103" s="12" t="s">
        <v>1580</v>
      </c>
      <c r="H103" s="13" t="s">
        <v>52</v>
      </c>
      <c r="I103" s="13" t="s">
        <v>460</v>
      </c>
      <c r="J103" s="13" t="s">
        <v>1247</v>
      </c>
      <c r="K103" s="13" t="s">
        <v>1248</v>
      </c>
      <c r="L103" s="13" t="s">
        <v>1559</v>
      </c>
      <c r="M103" s="13" t="s">
        <v>28</v>
      </c>
      <c r="N103" s="13" t="s">
        <v>220</v>
      </c>
      <c r="O103" s="15">
        <f>总览!$C$5+4</f>
        <v>46219</v>
      </c>
      <c r="P103" s="15"/>
      <c r="Q103" s="12"/>
      <c r="R103" s="12"/>
    </row>
    <row r="104" spans="1:18">
      <c r="A104" s="13" t="s">
        <v>1581</v>
      </c>
      <c r="B104" s="13" t="s">
        <v>1555</v>
      </c>
      <c r="C104" s="13" t="s">
        <v>1556</v>
      </c>
      <c r="D104" s="12" t="s">
        <v>1582</v>
      </c>
      <c r="E104" s="12"/>
      <c r="F104" s="12"/>
      <c r="G104" s="12" t="s">
        <v>1583</v>
      </c>
      <c r="H104" s="13" t="s">
        <v>52</v>
      </c>
      <c r="I104" s="13" t="s">
        <v>460</v>
      </c>
      <c r="J104" s="13" t="s">
        <v>1247</v>
      </c>
      <c r="K104" s="13" t="s">
        <v>1248</v>
      </c>
      <c r="L104" s="13" t="s">
        <v>1559</v>
      </c>
      <c r="M104" s="13" t="s">
        <v>28</v>
      </c>
      <c r="N104" s="13" t="s">
        <v>220</v>
      </c>
      <c r="O104" s="15">
        <f>总览!$C$5+4</f>
        <v>46219</v>
      </c>
      <c r="P104" s="15"/>
      <c r="Q104" s="12"/>
      <c r="R104" s="12"/>
    </row>
    <row r="105" spans="1:18">
      <c r="A105" s="13" t="s">
        <v>1584</v>
      </c>
      <c r="B105" s="13" t="s">
        <v>1555</v>
      </c>
      <c r="C105" s="13" t="s">
        <v>1556</v>
      </c>
      <c r="D105" s="12" t="s">
        <v>1585</v>
      </c>
      <c r="E105" s="12"/>
      <c r="F105" s="12"/>
      <c r="G105" s="12" t="s">
        <v>1586</v>
      </c>
      <c r="H105" s="13" t="s">
        <v>52</v>
      </c>
      <c r="I105" s="13" t="s">
        <v>460</v>
      </c>
      <c r="J105" s="13" t="s">
        <v>1247</v>
      </c>
      <c r="K105" s="13" t="s">
        <v>1248</v>
      </c>
      <c r="L105" s="13" t="s">
        <v>1559</v>
      </c>
      <c r="M105" s="13" t="s">
        <v>28</v>
      </c>
      <c r="N105" s="13" t="s">
        <v>220</v>
      </c>
      <c r="O105" s="15">
        <f>总览!$C$5+4</f>
        <v>46219</v>
      </c>
      <c r="P105" s="15"/>
      <c r="Q105" s="12"/>
      <c r="R105" s="12"/>
    </row>
    <row r="106" spans="1:18">
      <c r="A106" s="13" t="s">
        <v>1587</v>
      </c>
      <c r="B106" s="13" t="s">
        <v>1555</v>
      </c>
      <c r="C106" s="13" t="s">
        <v>1556</v>
      </c>
      <c r="D106" s="12" t="s">
        <v>1588</v>
      </c>
      <c r="E106" s="12"/>
      <c r="F106" s="12"/>
      <c r="G106" s="12" t="s">
        <v>1589</v>
      </c>
      <c r="H106" s="13" t="s">
        <v>52</v>
      </c>
      <c r="I106" s="13" t="s">
        <v>460</v>
      </c>
      <c r="J106" s="13" t="s">
        <v>1247</v>
      </c>
      <c r="K106" s="13" t="s">
        <v>1248</v>
      </c>
      <c r="L106" s="13" t="s">
        <v>1559</v>
      </c>
      <c r="M106" s="13" t="s">
        <v>28</v>
      </c>
      <c r="N106" s="13" t="s">
        <v>220</v>
      </c>
      <c r="O106" s="15">
        <f>总览!$C$5+4</f>
        <v>46219</v>
      </c>
      <c r="P106" s="15"/>
      <c r="Q106" s="12"/>
      <c r="R106" s="12"/>
    </row>
    <row r="107" spans="1:18">
      <c r="A107" s="13" t="s">
        <v>1590</v>
      </c>
      <c r="B107" s="13" t="s">
        <v>1555</v>
      </c>
      <c r="C107" s="13" t="s">
        <v>1556</v>
      </c>
      <c r="D107" s="12" t="s">
        <v>1591</v>
      </c>
      <c r="E107" s="12"/>
      <c r="F107" s="12"/>
      <c r="G107" s="12" t="s">
        <v>1592</v>
      </c>
      <c r="H107" s="13" t="s">
        <v>52</v>
      </c>
      <c r="I107" s="13" t="s">
        <v>460</v>
      </c>
      <c r="J107" s="13" t="s">
        <v>1247</v>
      </c>
      <c r="K107" s="13" t="s">
        <v>1248</v>
      </c>
      <c r="L107" s="13" t="s">
        <v>1559</v>
      </c>
      <c r="M107" s="13" t="s">
        <v>28</v>
      </c>
      <c r="N107" s="13" t="s">
        <v>220</v>
      </c>
      <c r="O107" s="15">
        <f>总览!$C$5+4</f>
        <v>46219</v>
      </c>
      <c r="P107" s="15"/>
      <c r="Q107" s="12"/>
      <c r="R107" s="12"/>
    </row>
    <row r="108" spans="1:18">
      <c r="A108" s="13" t="s">
        <v>1593</v>
      </c>
      <c r="B108" s="13" t="s">
        <v>1555</v>
      </c>
      <c r="C108" s="13" t="s">
        <v>1556</v>
      </c>
      <c r="D108" s="12" t="s">
        <v>1594</v>
      </c>
      <c r="E108" s="12"/>
      <c r="F108" s="12"/>
      <c r="G108" s="12" t="s">
        <v>1595</v>
      </c>
      <c r="H108" s="13" t="s">
        <v>52</v>
      </c>
      <c r="I108" s="13" t="s">
        <v>460</v>
      </c>
      <c r="J108" s="13" t="s">
        <v>1247</v>
      </c>
      <c r="K108" s="13" t="s">
        <v>1248</v>
      </c>
      <c r="L108" s="13" t="s">
        <v>1559</v>
      </c>
      <c r="M108" s="13" t="s">
        <v>28</v>
      </c>
      <c r="N108" s="13" t="s">
        <v>220</v>
      </c>
      <c r="O108" s="15">
        <f>总览!$C$5+4</f>
        <v>46219</v>
      </c>
      <c r="P108" s="15"/>
      <c r="Q108" s="12"/>
      <c r="R108" s="12"/>
    </row>
    <row r="109" spans="1:18">
      <c r="A109" s="13" t="s">
        <v>1596</v>
      </c>
      <c r="B109" s="13" t="s">
        <v>1555</v>
      </c>
      <c r="C109" s="13" t="s">
        <v>1556</v>
      </c>
      <c r="D109" s="12" t="s">
        <v>1597</v>
      </c>
      <c r="E109" s="12"/>
      <c r="F109" s="12"/>
      <c r="G109" s="12" t="s">
        <v>1568</v>
      </c>
      <c r="H109" s="13" t="s">
        <v>52</v>
      </c>
      <c r="I109" s="13" t="s">
        <v>460</v>
      </c>
      <c r="J109" s="13" t="s">
        <v>1247</v>
      </c>
      <c r="K109" s="13" t="s">
        <v>1248</v>
      </c>
      <c r="L109" s="13" t="s">
        <v>1559</v>
      </c>
      <c r="M109" s="13" t="s">
        <v>28</v>
      </c>
      <c r="N109" s="13" t="s">
        <v>220</v>
      </c>
      <c r="O109" s="15">
        <f>总览!$C$5+4</f>
        <v>46219</v>
      </c>
      <c r="P109" s="15"/>
      <c r="Q109" s="12"/>
      <c r="R109" s="12"/>
    </row>
    <row r="110" spans="1:18">
      <c r="A110" s="13" t="s">
        <v>1598</v>
      </c>
      <c r="B110" s="13" t="s">
        <v>1555</v>
      </c>
      <c r="C110" s="13" t="s">
        <v>1556</v>
      </c>
      <c r="D110" s="12" t="s">
        <v>1599</v>
      </c>
      <c r="E110" s="12"/>
      <c r="F110" s="12"/>
      <c r="G110" s="12" t="s">
        <v>1600</v>
      </c>
      <c r="H110" s="13" t="s">
        <v>52</v>
      </c>
      <c r="I110" s="13" t="s">
        <v>460</v>
      </c>
      <c r="J110" s="13" t="s">
        <v>1247</v>
      </c>
      <c r="K110" s="13" t="s">
        <v>1248</v>
      </c>
      <c r="L110" s="13" t="s">
        <v>1559</v>
      </c>
      <c r="M110" s="13" t="s">
        <v>28</v>
      </c>
      <c r="N110" s="13" t="s">
        <v>220</v>
      </c>
      <c r="O110" s="15">
        <f>总览!$C$5+4</f>
        <v>46219</v>
      </c>
      <c r="P110" s="15"/>
      <c r="Q110" s="12"/>
      <c r="R110" s="12"/>
    </row>
    <row r="111" spans="1:18">
      <c r="A111" s="13" t="s">
        <v>1601</v>
      </c>
      <c r="B111" s="13" t="s">
        <v>1555</v>
      </c>
      <c r="C111" s="13" t="s">
        <v>1556</v>
      </c>
      <c r="D111" s="12" t="s">
        <v>1602</v>
      </c>
      <c r="E111" s="12"/>
      <c r="F111" s="12"/>
      <c r="G111" s="12" t="s">
        <v>1330</v>
      </c>
      <c r="H111" s="13" t="s">
        <v>52</v>
      </c>
      <c r="I111" s="13" t="s">
        <v>460</v>
      </c>
      <c r="J111" s="13" t="s">
        <v>1247</v>
      </c>
      <c r="K111" s="13" t="s">
        <v>1248</v>
      </c>
      <c r="L111" s="13" t="s">
        <v>1559</v>
      </c>
      <c r="M111" s="13" t="s">
        <v>28</v>
      </c>
      <c r="N111" s="13" t="s">
        <v>220</v>
      </c>
      <c r="O111" s="15">
        <f>总览!$C$5+4</f>
        <v>46219</v>
      </c>
      <c r="P111" s="15"/>
      <c r="Q111" s="12"/>
      <c r="R111" s="12"/>
    </row>
    <row r="112" spans="1:18">
      <c r="A112" s="13" t="s">
        <v>1603</v>
      </c>
      <c r="B112" s="13" t="s">
        <v>1555</v>
      </c>
      <c r="C112" s="13" t="s">
        <v>1556</v>
      </c>
      <c r="D112" s="12" t="s">
        <v>1604</v>
      </c>
      <c r="E112" s="12"/>
      <c r="F112" s="12"/>
      <c r="G112" s="12" t="s">
        <v>1605</v>
      </c>
      <c r="H112" s="13" t="s">
        <v>52</v>
      </c>
      <c r="I112" s="13" t="s">
        <v>460</v>
      </c>
      <c r="J112" s="13" t="s">
        <v>1247</v>
      </c>
      <c r="K112" s="13" t="s">
        <v>1248</v>
      </c>
      <c r="L112" s="13" t="s">
        <v>1559</v>
      </c>
      <c r="M112" s="13" t="s">
        <v>28</v>
      </c>
      <c r="N112" s="13" t="s">
        <v>220</v>
      </c>
      <c r="O112" s="15">
        <f>总览!$C$5+4</f>
        <v>46219</v>
      </c>
      <c r="P112" s="15"/>
      <c r="Q112" s="12"/>
      <c r="R112" s="12"/>
    </row>
    <row r="113" spans="1:18">
      <c r="A113" s="13" t="s">
        <v>1606</v>
      </c>
      <c r="B113" s="13" t="s">
        <v>1555</v>
      </c>
      <c r="C113" s="13" t="s">
        <v>1556</v>
      </c>
      <c r="D113" s="12" t="s">
        <v>1607</v>
      </c>
      <c r="E113" s="12"/>
      <c r="F113" s="12"/>
      <c r="G113" s="12" t="s">
        <v>1608</v>
      </c>
      <c r="H113" s="13" t="s">
        <v>52</v>
      </c>
      <c r="I113" s="13" t="s">
        <v>460</v>
      </c>
      <c r="J113" s="13" t="s">
        <v>1247</v>
      </c>
      <c r="K113" s="13" t="s">
        <v>1248</v>
      </c>
      <c r="L113" s="13" t="s">
        <v>1559</v>
      </c>
      <c r="M113" s="13" t="s">
        <v>28</v>
      </c>
      <c r="N113" s="13" t="s">
        <v>220</v>
      </c>
      <c r="O113" s="15">
        <f>总览!$C$5+4</f>
        <v>46219</v>
      </c>
      <c r="P113" s="15"/>
      <c r="Q113" s="12"/>
      <c r="R113" s="12"/>
    </row>
    <row r="114" spans="1:18">
      <c r="A114" s="13" t="s">
        <v>1609</v>
      </c>
      <c r="B114" s="13" t="s">
        <v>1555</v>
      </c>
      <c r="C114" s="13" t="s">
        <v>1556</v>
      </c>
      <c r="D114" s="12" t="s">
        <v>1610</v>
      </c>
      <c r="E114" s="12"/>
      <c r="F114" s="12"/>
      <c r="G114" s="12" t="s">
        <v>1611</v>
      </c>
      <c r="H114" s="13" t="s">
        <v>52</v>
      </c>
      <c r="I114" s="13" t="s">
        <v>460</v>
      </c>
      <c r="J114" s="13" t="s">
        <v>1247</v>
      </c>
      <c r="K114" s="13" t="s">
        <v>1248</v>
      </c>
      <c r="L114" s="13" t="s">
        <v>1559</v>
      </c>
      <c r="M114" s="13" t="s">
        <v>28</v>
      </c>
      <c r="N114" s="13" t="s">
        <v>220</v>
      </c>
      <c r="O114" s="15">
        <f>总览!$C$5+4</f>
        <v>46219</v>
      </c>
      <c r="P114" s="15"/>
      <c r="Q114" s="12"/>
      <c r="R114" s="12"/>
    </row>
    <row r="115" spans="1:18">
      <c r="A115" s="13" t="s">
        <v>1612</v>
      </c>
      <c r="B115" s="13" t="s">
        <v>1555</v>
      </c>
      <c r="C115" s="13" t="s">
        <v>1556</v>
      </c>
      <c r="D115" s="12" t="s">
        <v>1613</v>
      </c>
      <c r="E115" s="12"/>
      <c r="F115" s="12"/>
      <c r="G115" s="12" t="s">
        <v>1614</v>
      </c>
      <c r="H115" s="13" t="s">
        <v>52</v>
      </c>
      <c r="I115" s="13" t="s">
        <v>460</v>
      </c>
      <c r="J115" s="13" t="s">
        <v>1247</v>
      </c>
      <c r="K115" s="13" t="s">
        <v>1248</v>
      </c>
      <c r="L115" s="13" t="s">
        <v>1559</v>
      </c>
      <c r="M115" s="13" t="s">
        <v>28</v>
      </c>
      <c r="N115" s="13" t="s">
        <v>220</v>
      </c>
      <c r="O115" s="15">
        <f>总览!$C$5+4</f>
        <v>46219</v>
      </c>
      <c r="P115" s="15"/>
      <c r="Q115" s="12"/>
      <c r="R115" s="12"/>
    </row>
    <row r="116" spans="1:18">
      <c r="A116" s="13" t="s">
        <v>1615</v>
      </c>
      <c r="B116" s="13" t="s">
        <v>1555</v>
      </c>
      <c r="C116" s="13" t="s">
        <v>1556</v>
      </c>
      <c r="D116" s="12" t="s">
        <v>1616</v>
      </c>
      <c r="E116" s="12"/>
      <c r="F116" s="12"/>
      <c r="G116" s="12" t="s">
        <v>1617</v>
      </c>
      <c r="H116" s="13" t="s">
        <v>52</v>
      </c>
      <c r="I116" s="13" t="s">
        <v>460</v>
      </c>
      <c r="J116" s="13" t="s">
        <v>1247</v>
      </c>
      <c r="K116" s="13" t="s">
        <v>1248</v>
      </c>
      <c r="L116" s="13" t="s">
        <v>1559</v>
      </c>
      <c r="M116" s="13" t="s">
        <v>28</v>
      </c>
      <c r="N116" s="13" t="s">
        <v>220</v>
      </c>
      <c r="O116" s="15">
        <f>总览!$C$5+4</f>
        <v>46219</v>
      </c>
      <c r="P116" s="15"/>
      <c r="Q116" s="12"/>
      <c r="R116" s="12"/>
    </row>
    <row r="117" spans="1:18">
      <c r="A117" s="13" t="s">
        <v>1618</v>
      </c>
      <c r="B117" s="13" t="s">
        <v>1555</v>
      </c>
      <c r="C117" s="13" t="s">
        <v>1556</v>
      </c>
      <c r="D117" s="12" t="s">
        <v>1619</v>
      </c>
      <c r="E117" s="12"/>
      <c r="F117" s="12"/>
      <c r="G117" s="12" t="s">
        <v>1620</v>
      </c>
      <c r="H117" s="13" t="s">
        <v>52</v>
      </c>
      <c r="I117" s="13" t="s">
        <v>460</v>
      </c>
      <c r="J117" s="13" t="s">
        <v>1247</v>
      </c>
      <c r="K117" s="13" t="s">
        <v>1248</v>
      </c>
      <c r="L117" s="13" t="s">
        <v>1559</v>
      </c>
      <c r="M117" s="13" t="s">
        <v>28</v>
      </c>
      <c r="N117" s="13" t="s">
        <v>220</v>
      </c>
      <c r="O117" s="15">
        <f>总览!$C$5+4</f>
        <v>46219</v>
      </c>
      <c r="P117" s="15"/>
      <c r="Q117" s="12"/>
      <c r="R117" s="12"/>
    </row>
    <row r="118" spans="1:18">
      <c r="A118" s="13" t="s">
        <v>1621</v>
      </c>
      <c r="B118" s="13" t="s">
        <v>1622</v>
      </c>
      <c r="C118" s="13" t="s">
        <v>1623</v>
      </c>
      <c r="D118" s="12" t="s">
        <v>1624</v>
      </c>
      <c r="E118" s="12"/>
      <c r="F118" s="12"/>
      <c r="G118" s="12" t="s">
        <v>1625</v>
      </c>
      <c r="H118" s="13" t="s">
        <v>52</v>
      </c>
      <c r="I118" s="13" t="s">
        <v>460</v>
      </c>
      <c r="J118" s="13" t="s">
        <v>1247</v>
      </c>
      <c r="K118" s="13" t="s">
        <v>1248</v>
      </c>
      <c r="L118" s="13" t="s">
        <v>1626</v>
      </c>
      <c r="M118" s="13" t="s">
        <v>28</v>
      </c>
      <c r="N118" s="13" t="s">
        <v>220</v>
      </c>
      <c r="O118" s="15">
        <f>总览!$C$5+4</f>
        <v>46219</v>
      </c>
      <c r="P118" s="15"/>
      <c r="Q118" s="12"/>
      <c r="R118" s="12"/>
    </row>
    <row r="119" spans="1:18">
      <c r="A119" s="13" t="s">
        <v>1627</v>
      </c>
      <c r="B119" s="13" t="s">
        <v>1622</v>
      </c>
      <c r="C119" s="13" t="s">
        <v>1623</v>
      </c>
      <c r="D119" s="12" t="s">
        <v>1628</v>
      </c>
      <c r="E119" s="12"/>
      <c r="F119" s="12"/>
      <c r="G119" s="12" t="s">
        <v>1629</v>
      </c>
      <c r="H119" s="13" t="s">
        <v>52</v>
      </c>
      <c r="I119" s="13" t="s">
        <v>460</v>
      </c>
      <c r="J119" s="13" t="s">
        <v>1247</v>
      </c>
      <c r="K119" s="13" t="s">
        <v>1248</v>
      </c>
      <c r="L119" s="13" t="s">
        <v>1626</v>
      </c>
      <c r="M119" s="13" t="s">
        <v>28</v>
      </c>
      <c r="N119" s="13" t="s">
        <v>220</v>
      </c>
      <c r="O119" s="15">
        <f>总览!$C$5+4</f>
        <v>46219</v>
      </c>
      <c r="P119" s="15"/>
      <c r="Q119" s="12"/>
      <c r="R119" s="12"/>
    </row>
    <row r="120" spans="1:18">
      <c r="A120" s="13" t="s">
        <v>1630</v>
      </c>
      <c r="B120" s="13" t="s">
        <v>1622</v>
      </c>
      <c r="C120" s="13" t="s">
        <v>1623</v>
      </c>
      <c r="D120" s="12" t="s">
        <v>1631</v>
      </c>
      <c r="E120" s="12"/>
      <c r="F120" s="12"/>
      <c r="G120" s="12" t="s">
        <v>1632</v>
      </c>
      <c r="H120" s="13" t="s">
        <v>52</v>
      </c>
      <c r="I120" s="13" t="s">
        <v>460</v>
      </c>
      <c r="J120" s="13" t="s">
        <v>1247</v>
      </c>
      <c r="K120" s="13" t="s">
        <v>1248</v>
      </c>
      <c r="L120" s="13" t="s">
        <v>1626</v>
      </c>
      <c r="M120" s="13" t="s">
        <v>28</v>
      </c>
      <c r="N120" s="13" t="s">
        <v>220</v>
      </c>
      <c r="O120" s="15">
        <f>总览!$C$5+4</f>
        <v>46219</v>
      </c>
      <c r="P120" s="15"/>
      <c r="Q120" s="12"/>
      <c r="R120" s="12"/>
    </row>
    <row r="121" spans="1:18" ht="23.25">
      <c r="A121" s="13" t="s">
        <v>1633</v>
      </c>
      <c r="B121" s="13" t="s">
        <v>1622</v>
      </c>
      <c r="C121" s="13" t="s">
        <v>1623</v>
      </c>
      <c r="D121" s="12" t="s">
        <v>1634</v>
      </c>
      <c r="E121" s="12"/>
      <c r="F121" s="12"/>
      <c r="G121" s="12" t="s">
        <v>1635</v>
      </c>
      <c r="H121" s="13" t="s">
        <v>52</v>
      </c>
      <c r="I121" s="13" t="s">
        <v>460</v>
      </c>
      <c r="J121" s="13" t="s">
        <v>1247</v>
      </c>
      <c r="K121" s="13" t="s">
        <v>1248</v>
      </c>
      <c r="L121" s="13" t="s">
        <v>1626</v>
      </c>
      <c r="M121" s="13" t="s">
        <v>28</v>
      </c>
      <c r="N121" s="13" t="s">
        <v>220</v>
      </c>
      <c r="O121" s="15">
        <f>总览!$C$5+4</f>
        <v>46219</v>
      </c>
      <c r="P121" s="15"/>
      <c r="Q121" s="12"/>
      <c r="R121" s="12"/>
    </row>
    <row r="122" spans="1:18">
      <c r="A122" s="13" t="s">
        <v>1636</v>
      </c>
      <c r="B122" s="13" t="s">
        <v>1622</v>
      </c>
      <c r="C122" s="13" t="s">
        <v>1623</v>
      </c>
      <c r="D122" s="12" t="s">
        <v>1637</v>
      </c>
      <c r="E122" s="12"/>
      <c r="F122" s="12"/>
      <c r="G122" s="12" t="s">
        <v>1638</v>
      </c>
      <c r="H122" s="13" t="s">
        <v>52</v>
      </c>
      <c r="I122" s="13" t="s">
        <v>460</v>
      </c>
      <c r="J122" s="13" t="s">
        <v>1247</v>
      </c>
      <c r="K122" s="13" t="s">
        <v>1248</v>
      </c>
      <c r="L122" s="13" t="s">
        <v>1626</v>
      </c>
      <c r="M122" s="13" t="s">
        <v>28</v>
      </c>
      <c r="N122" s="13" t="s">
        <v>220</v>
      </c>
      <c r="O122" s="15">
        <f>总览!$C$5+4</f>
        <v>46219</v>
      </c>
      <c r="P122" s="15"/>
      <c r="Q122" s="12"/>
      <c r="R122" s="12"/>
    </row>
    <row r="123" spans="1:18">
      <c r="A123" s="13" t="s">
        <v>1639</v>
      </c>
      <c r="B123" s="13" t="s">
        <v>1622</v>
      </c>
      <c r="C123" s="13" t="s">
        <v>1623</v>
      </c>
      <c r="D123" s="12" t="s">
        <v>1640</v>
      </c>
      <c r="E123" s="12"/>
      <c r="F123" s="12"/>
      <c r="G123" s="12" t="s">
        <v>1641</v>
      </c>
      <c r="H123" s="13" t="s">
        <v>52</v>
      </c>
      <c r="I123" s="13" t="s">
        <v>460</v>
      </c>
      <c r="J123" s="13" t="s">
        <v>1247</v>
      </c>
      <c r="K123" s="13" t="s">
        <v>1248</v>
      </c>
      <c r="L123" s="13" t="s">
        <v>1626</v>
      </c>
      <c r="M123" s="13" t="s">
        <v>28</v>
      </c>
      <c r="N123" s="13" t="s">
        <v>220</v>
      </c>
      <c r="O123" s="15">
        <f>总览!$C$5+4</f>
        <v>46219</v>
      </c>
      <c r="P123" s="15"/>
      <c r="Q123" s="12"/>
      <c r="R123" s="12"/>
    </row>
    <row r="124" spans="1:18">
      <c r="A124" s="13" t="s">
        <v>1642</v>
      </c>
      <c r="B124" s="13" t="s">
        <v>1622</v>
      </c>
      <c r="C124" s="13" t="s">
        <v>1623</v>
      </c>
      <c r="D124" s="12" t="s">
        <v>1643</v>
      </c>
      <c r="E124" s="12"/>
      <c r="F124" s="12"/>
      <c r="G124" s="12" t="s">
        <v>1644</v>
      </c>
      <c r="H124" s="13" t="s">
        <v>52</v>
      </c>
      <c r="I124" s="13" t="s">
        <v>460</v>
      </c>
      <c r="J124" s="13" t="s">
        <v>1247</v>
      </c>
      <c r="K124" s="13" t="s">
        <v>1248</v>
      </c>
      <c r="L124" s="13" t="s">
        <v>1626</v>
      </c>
      <c r="M124" s="13" t="s">
        <v>28</v>
      </c>
      <c r="N124" s="13" t="s">
        <v>220</v>
      </c>
      <c r="O124" s="15">
        <f>总览!$C$5+4</f>
        <v>46219</v>
      </c>
      <c r="P124" s="15"/>
      <c r="Q124" s="12"/>
      <c r="R124" s="12"/>
    </row>
    <row r="125" spans="1:18">
      <c r="A125" s="13" t="s">
        <v>1645</v>
      </c>
      <c r="B125" s="13" t="s">
        <v>1622</v>
      </c>
      <c r="C125" s="13" t="s">
        <v>1623</v>
      </c>
      <c r="D125" s="12" t="s">
        <v>1646</v>
      </c>
      <c r="E125" s="12"/>
      <c r="F125" s="12"/>
      <c r="G125" s="12" t="s">
        <v>1647</v>
      </c>
      <c r="H125" s="13" t="s">
        <v>52</v>
      </c>
      <c r="I125" s="13" t="s">
        <v>460</v>
      </c>
      <c r="J125" s="13" t="s">
        <v>1247</v>
      </c>
      <c r="K125" s="13" t="s">
        <v>1248</v>
      </c>
      <c r="L125" s="13" t="s">
        <v>1626</v>
      </c>
      <c r="M125" s="13" t="s">
        <v>28</v>
      </c>
      <c r="N125" s="13" t="s">
        <v>220</v>
      </c>
      <c r="O125" s="15">
        <f>总览!$C$5+4</f>
        <v>46219</v>
      </c>
      <c r="P125" s="15"/>
      <c r="Q125" s="12"/>
      <c r="R125" s="12"/>
    </row>
    <row r="126" spans="1:18">
      <c r="A126" s="13" t="s">
        <v>1648</v>
      </c>
      <c r="B126" s="13" t="s">
        <v>1622</v>
      </c>
      <c r="C126" s="13" t="s">
        <v>1623</v>
      </c>
      <c r="D126" s="12" t="s">
        <v>1649</v>
      </c>
      <c r="E126" s="12"/>
      <c r="F126" s="12"/>
      <c r="G126" s="12" t="s">
        <v>1650</v>
      </c>
      <c r="H126" s="13" t="s">
        <v>52</v>
      </c>
      <c r="I126" s="13" t="s">
        <v>460</v>
      </c>
      <c r="J126" s="13" t="s">
        <v>1247</v>
      </c>
      <c r="K126" s="13" t="s">
        <v>1248</v>
      </c>
      <c r="L126" s="13" t="s">
        <v>1626</v>
      </c>
      <c r="M126" s="13" t="s">
        <v>28</v>
      </c>
      <c r="N126" s="13" t="s">
        <v>220</v>
      </c>
      <c r="O126" s="15">
        <f>总览!$C$5+4</f>
        <v>46219</v>
      </c>
      <c r="P126" s="15"/>
      <c r="Q126" s="12"/>
      <c r="R126" s="12"/>
    </row>
    <row r="127" spans="1:18">
      <c r="A127" s="13" t="s">
        <v>1651</v>
      </c>
      <c r="B127" s="13" t="s">
        <v>1622</v>
      </c>
      <c r="C127" s="13" t="s">
        <v>1623</v>
      </c>
      <c r="D127" s="12" t="s">
        <v>1652</v>
      </c>
      <c r="E127" s="12"/>
      <c r="F127" s="12"/>
      <c r="G127" s="12" t="s">
        <v>1653</v>
      </c>
      <c r="H127" s="13" t="s">
        <v>52</v>
      </c>
      <c r="I127" s="13" t="s">
        <v>460</v>
      </c>
      <c r="J127" s="13" t="s">
        <v>1247</v>
      </c>
      <c r="K127" s="13" t="s">
        <v>1248</v>
      </c>
      <c r="L127" s="13" t="s">
        <v>1626</v>
      </c>
      <c r="M127" s="13" t="s">
        <v>28</v>
      </c>
      <c r="N127" s="13" t="s">
        <v>220</v>
      </c>
      <c r="O127" s="15">
        <f>总览!$C$5+4</f>
        <v>46219</v>
      </c>
      <c r="P127" s="15"/>
      <c r="Q127" s="12"/>
      <c r="R127" s="12"/>
    </row>
    <row r="128" spans="1:18">
      <c r="A128" s="13" t="s">
        <v>1654</v>
      </c>
      <c r="B128" s="13" t="s">
        <v>1622</v>
      </c>
      <c r="C128" s="13" t="s">
        <v>1623</v>
      </c>
      <c r="D128" s="12" t="s">
        <v>1655</v>
      </c>
      <c r="E128" s="12"/>
      <c r="F128" s="12"/>
      <c r="G128" s="12" t="s">
        <v>1656</v>
      </c>
      <c r="H128" s="13" t="s">
        <v>52</v>
      </c>
      <c r="I128" s="13" t="s">
        <v>460</v>
      </c>
      <c r="J128" s="13" t="s">
        <v>1247</v>
      </c>
      <c r="K128" s="13" t="s">
        <v>1248</v>
      </c>
      <c r="L128" s="13" t="s">
        <v>1626</v>
      </c>
      <c r="M128" s="13" t="s">
        <v>28</v>
      </c>
      <c r="N128" s="13" t="s">
        <v>220</v>
      </c>
      <c r="O128" s="15">
        <f>总览!$C$5+4</f>
        <v>46219</v>
      </c>
      <c r="P128" s="15"/>
      <c r="Q128" s="12"/>
      <c r="R128" s="12"/>
    </row>
    <row r="129" spans="1:18">
      <c r="A129" s="13" t="s">
        <v>1657</v>
      </c>
      <c r="B129" s="13" t="s">
        <v>1622</v>
      </c>
      <c r="C129" s="13" t="s">
        <v>1623</v>
      </c>
      <c r="D129" s="12" t="s">
        <v>1658</v>
      </c>
      <c r="E129" s="12"/>
      <c r="F129" s="12"/>
      <c r="G129" s="12" t="s">
        <v>1659</v>
      </c>
      <c r="H129" s="13" t="s">
        <v>52</v>
      </c>
      <c r="I129" s="13" t="s">
        <v>460</v>
      </c>
      <c r="J129" s="13" t="s">
        <v>1247</v>
      </c>
      <c r="K129" s="13" t="s">
        <v>1248</v>
      </c>
      <c r="L129" s="13" t="s">
        <v>1626</v>
      </c>
      <c r="M129" s="13" t="s">
        <v>28</v>
      </c>
      <c r="N129" s="13" t="s">
        <v>220</v>
      </c>
      <c r="O129" s="15">
        <f>总览!$C$5+4</f>
        <v>46219</v>
      </c>
      <c r="P129" s="15"/>
      <c r="Q129" s="12"/>
      <c r="R129" s="12"/>
    </row>
    <row r="130" spans="1:18">
      <c r="A130" s="13" t="s">
        <v>1660</v>
      </c>
      <c r="B130" s="13" t="s">
        <v>1622</v>
      </c>
      <c r="C130" s="13" t="s">
        <v>1623</v>
      </c>
      <c r="D130" s="12" t="s">
        <v>1661</v>
      </c>
      <c r="E130" s="12"/>
      <c r="F130" s="12"/>
      <c r="G130" s="12" t="s">
        <v>1662</v>
      </c>
      <c r="H130" s="13" t="s">
        <v>52</v>
      </c>
      <c r="I130" s="13" t="s">
        <v>460</v>
      </c>
      <c r="J130" s="13" t="s">
        <v>1247</v>
      </c>
      <c r="K130" s="13" t="s">
        <v>1248</v>
      </c>
      <c r="L130" s="13" t="s">
        <v>1626</v>
      </c>
      <c r="M130" s="13" t="s">
        <v>28</v>
      </c>
      <c r="N130" s="13" t="s">
        <v>220</v>
      </c>
      <c r="O130" s="15">
        <f>总览!$C$5+4</f>
        <v>46219</v>
      </c>
      <c r="P130" s="15"/>
      <c r="Q130" s="12"/>
      <c r="R130" s="12"/>
    </row>
    <row r="131" spans="1:18">
      <c r="A131" s="13" t="s">
        <v>1663</v>
      </c>
      <c r="B131" s="13" t="s">
        <v>1664</v>
      </c>
      <c r="C131" s="13" t="s">
        <v>1665</v>
      </c>
      <c r="D131" s="12" t="s">
        <v>1666</v>
      </c>
      <c r="E131" s="12"/>
      <c r="F131" s="12"/>
      <c r="G131" s="12" t="s">
        <v>1667</v>
      </c>
      <c r="H131" s="13" t="s">
        <v>52</v>
      </c>
      <c r="I131" s="13" t="s">
        <v>460</v>
      </c>
      <c r="J131" s="13" t="s">
        <v>1247</v>
      </c>
      <c r="K131" s="13" t="s">
        <v>1248</v>
      </c>
      <c r="L131" s="13" t="s">
        <v>1668</v>
      </c>
      <c r="M131" s="13" t="s">
        <v>1669</v>
      </c>
      <c r="N131" s="13" t="s">
        <v>220</v>
      </c>
      <c r="O131" s="15">
        <f>总览!$C$5+4</f>
        <v>46219</v>
      </c>
      <c r="P131" s="15"/>
      <c r="Q131" s="12"/>
      <c r="R131" s="12"/>
    </row>
    <row r="132" spans="1:18">
      <c r="A132" s="13" t="s">
        <v>1670</v>
      </c>
      <c r="B132" s="13" t="s">
        <v>1664</v>
      </c>
      <c r="C132" s="13" t="s">
        <v>1665</v>
      </c>
      <c r="D132" s="12" t="s">
        <v>1671</v>
      </c>
      <c r="E132" s="12"/>
      <c r="F132" s="12"/>
      <c r="G132" s="12" t="s">
        <v>1672</v>
      </c>
      <c r="H132" s="13" t="s">
        <v>52</v>
      </c>
      <c r="I132" s="13" t="s">
        <v>460</v>
      </c>
      <c r="J132" s="13" t="s">
        <v>1247</v>
      </c>
      <c r="K132" s="13" t="s">
        <v>1248</v>
      </c>
      <c r="L132" s="13" t="s">
        <v>1668</v>
      </c>
      <c r="M132" s="13" t="s">
        <v>1669</v>
      </c>
      <c r="N132" s="13" t="s">
        <v>220</v>
      </c>
      <c r="O132" s="15">
        <f>总览!$C$5+4</f>
        <v>46219</v>
      </c>
      <c r="P132" s="15"/>
      <c r="Q132" s="12"/>
      <c r="R132" s="12"/>
    </row>
    <row r="133" spans="1:18">
      <c r="A133" s="13" t="s">
        <v>1673</v>
      </c>
      <c r="B133" s="13" t="s">
        <v>1664</v>
      </c>
      <c r="C133" s="13" t="s">
        <v>1665</v>
      </c>
      <c r="D133" s="12" t="s">
        <v>1674</v>
      </c>
      <c r="E133" s="12"/>
      <c r="F133" s="12"/>
      <c r="G133" s="12" t="s">
        <v>1675</v>
      </c>
      <c r="H133" s="13" t="s">
        <v>52</v>
      </c>
      <c r="I133" s="13" t="s">
        <v>460</v>
      </c>
      <c r="J133" s="13" t="s">
        <v>1247</v>
      </c>
      <c r="K133" s="13" t="s">
        <v>1248</v>
      </c>
      <c r="L133" s="13" t="s">
        <v>1668</v>
      </c>
      <c r="M133" s="13" t="s">
        <v>1669</v>
      </c>
      <c r="N133" s="13" t="s">
        <v>220</v>
      </c>
      <c r="O133" s="15">
        <f>总览!$C$5+4</f>
        <v>46219</v>
      </c>
      <c r="P133" s="15"/>
      <c r="Q133" s="12"/>
      <c r="R133" s="12"/>
    </row>
    <row r="134" spans="1:18" ht="23.25">
      <c r="A134" s="13" t="s">
        <v>1676</v>
      </c>
      <c r="B134" s="13" t="s">
        <v>1664</v>
      </c>
      <c r="C134" s="13" t="s">
        <v>1665</v>
      </c>
      <c r="D134" s="12" t="s">
        <v>861</v>
      </c>
      <c r="E134" s="12"/>
      <c r="F134" s="12"/>
      <c r="G134" s="12" t="s">
        <v>1677</v>
      </c>
      <c r="H134" s="13" t="s">
        <v>52</v>
      </c>
      <c r="I134" s="13" t="s">
        <v>460</v>
      </c>
      <c r="J134" s="13" t="s">
        <v>1247</v>
      </c>
      <c r="K134" s="13" t="s">
        <v>1248</v>
      </c>
      <c r="L134" s="13" t="s">
        <v>1668</v>
      </c>
      <c r="M134" s="13" t="s">
        <v>1669</v>
      </c>
      <c r="N134" s="13" t="s">
        <v>220</v>
      </c>
      <c r="O134" s="15">
        <f>总览!$C$5+4</f>
        <v>46219</v>
      </c>
      <c r="P134" s="15"/>
      <c r="Q134" s="12"/>
      <c r="R134" s="12"/>
    </row>
    <row r="135" spans="1:18">
      <c r="A135" s="13" t="s">
        <v>1678</v>
      </c>
      <c r="B135" s="13" t="s">
        <v>1664</v>
      </c>
      <c r="C135" s="13" t="s">
        <v>1665</v>
      </c>
      <c r="D135" s="12" t="s">
        <v>1679</v>
      </c>
      <c r="E135" s="12"/>
      <c r="F135" s="12"/>
      <c r="G135" s="12" t="s">
        <v>1680</v>
      </c>
      <c r="H135" s="13" t="s">
        <v>52</v>
      </c>
      <c r="I135" s="13" t="s">
        <v>460</v>
      </c>
      <c r="J135" s="13" t="s">
        <v>1247</v>
      </c>
      <c r="K135" s="13" t="s">
        <v>1248</v>
      </c>
      <c r="L135" s="13" t="s">
        <v>1668</v>
      </c>
      <c r="M135" s="13" t="s">
        <v>1669</v>
      </c>
      <c r="N135" s="13" t="s">
        <v>220</v>
      </c>
      <c r="O135" s="15">
        <f>总览!$C$5+4</f>
        <v>46219</v>
      </c>
      <c r="P135" s="15"/>
      <c r="Q135" s="12"/>
      <c r="R135" s="12"/>
    </row>
    <row r="136" spans="1:18">
      <c r="A136" s="13" t="s">
        <v>1681</v>
      </c>
      <c r="B136" s="13" t="s">
        <v>1664</v>
      </c>
      <c r="C136" s="13" t="s">
        <v>1665</v>
      </c>
      <c r="D136" s="12" t="s">
        <v>869</v>
      </c>
      <c r="E136" s="12"/>
      <c r="F136" s="12"/>
      <c r="G136" s="12" t="s">
        <v>1682</v>
      </c>
      <c r="H136" s="13" t="s">
        <v>52</v>
      </c>
      <c r="I136" s="13" t="s">
        <v>460</v>
      </c>
      <c r="J136" s="13" t="s">
        <v>1247</v>
      </c>
      <c r="K136" s="13" t="s">
        <v>1248</v>
      </c>
      <c r="L136" s="13" t="s">
        <v>1668</v>
      </c>
      <c r="M136" s="13" t="s">
        <v>1669</v>
      </c>
      <c r="N136" s="13" t="s">
        <v>220</v>
      </c>
      <c r="O136" s="15">
        <f>总览!$C$5+4</f>
        <v>46219</v>
      </c>
      <c r="P136" s="15"/>
      <c r="Q136" s="12"/>
      <c r="R136" s="12"/>
    </row>
    <row r="137" spans="1:18">
      <c r="A137" s="13" t="s">
        <v>1683</v>
      </c>
      <c r="B137" s="13" t="s">
        <v>1664</v>
      </c>
      <c r="C137" s="13" t="s">
        <v>1665</v>
      </c>
      <c r="D137" s="12" t="s">
        <v>1684</v>
      </c>
      <c r="E137" s="12"/>
      <c r="F137" s="12"/>
      <c r="G137" s="12" t="s">
        <v>1685</v>
      </c>
      <c r="H137" s="13" t="s">
        <v>52</v>
      </c>
      <c r="I137" s="13" t="s">
        <v>460</v>
      </c>
      <c r="J137" s="13" t="s">
        <v>1247</v>
      </c>
      <c r="K137" s="13" t="s">
        <v>1248</v>
      </c>
      <c r="L137" s="13" t="s">
        <v>1668</v>
      </c>
      <c r="M137" s="13" t="s">
        <v>1669</v>
      </c>
      <c r="N137" s="13" t="s">
        <v>220</v>
      </c>
      <c r="O137" s="15">
        <f>总览!$C$5+4</f>
        <v>46219</v>
      </c>
      <c r="P137" s="15"/>
      <c r="Q137" s="12"/>
      <c r="R137" s="12"/>
    </row>
    <row r="138" spans="1:18">
      <c r="A138" s="13" t="s">
        <v>1686</v>
      </c>
      <c r="B138" s="13" t="s">
        <v>1664</v>
      </c>
      <c r="C138" s="13" t="s">
        <v>1665</v>
      </c>
      <c r="D138" s="12" t="s">
        <v>1687</v>
      </c>
      <c r="E138" s="12"/>
      <c r="F138" s="12"/>
      <c r="G138" s="12" t="s">
        <v>1688</v>
      </c>
      <c r="H138" s="13" t="s">
        <v>52</v>
      </c>
      <c r="I138" s="13" t="s">
        <v>460</v>
      </c>
      <c r="J138" s="13" t="s">
        <v>1247</v>
      </c>
      <c r="K138" s="13" t="s">
        <v>1248</v>
      </c>
      <c r="L138" s="13" t="s">
        <v>1668</v>
      </c>
      <c r="M138" s="13" t="s">
        <v>1669</v>
      </c>
      <c r="N138" s="13" t="s">
        <v>220</v>
      </c>
      <c r="O138" s="15">
        <f>总览!$C$5+4</f>
        <v>46219</v>
      </c>
      <c r="P138" s="15"/>
      <c r="Q138" s="12"/>
      <c r="R138" s="12"/>
    </row>
    <row r="139" spans="1:18">
      <c r="A139" s="13" t="s">
        <v>1689</v>
      </c>
      <c r="B139" s="13" t="s">
        <v>1664</v>
      </c>
      <c r="C139" s="13" t="s">
        <v>1665</v>
      </c>
      <c r="D139" s="12" t="s">
        <v>878</v>
      </c>
      <c r="E139" s="12"/>
      <c r="F139" s="12"/>
      <c r="G139" s="12" t="s">
        <v>1690</v>
      </c>
      <c r="H139" s="13" t="s">
        <v>52</v>
      </c>
      <c r="I139" s="13" t="s">
        <v>460</v>
      </c>
      <c r="J139" s="13" t="s">
        <v>1247</v>
      </c>
      <c r="K139" s="13" t="s">
        <v>1248</v>
      </c>
      <c r="L139" s="13" t="s">
        <v>1668</v>
      </c>
      <c r="M139" s="13" t="s">
        <v>1669</v>
      </c>
      <c r="N139" s="13" t="s">
        <v>220</v>
      </c>
      <c r="O139" s="15">
        <f>总览!$C$5+4</f>
        <v>46219</v>
      </c>
      <c r="P139" s="15"/>
      <c r="Q139" s="12"/>
      <c r="R139" s="12"/>
    </row>
    <row r="140" spans="1:18">
      <c r="A140" s="13" t="s">
        <v>1691</v>
      </c>
      <c r="B140" s="13" t="s">
        <v>1664</v>
      </c>
      <c r="C140" s="13" t="s">
        <v>1665</v>
      </c>
      <c r="D140" s="12" t="s">
        <v>1692</v>
      </c>
      <c r="E140" s="12"/>
      <c r="F140" s="12"/>
      <c r="G140" s="12" t="s">
        <v>1693</v>
      </c>
      <c r="H140" s="13" t="s">
        <v>52</v>
      </c>
      <c r="I140" s="13" t="s">
        <v>460</v>
      </c>
      <c r="J140" s="13" t="s">
        <v>1247</v>
      </c>
      <c r="K140" s="13" t="s">
        <v>1248</v>
      </c>
      <c r="L140" s="13" t="s">
        <v>1668</v>
      </c>
      <c r="M140" s="13" t="s">
        <v>1669</v>
      </c>
      <c r="N140" s="13" t="s">
        <v>220</v>
      </c>
      <c r="O140" s="15">
        <f>总览!$C$5+4</f>
        <v>46219</v>
      </c>
      <c r="P140" s="15"/>
      <c r="Q140" s="12"/>
      <c r="R140" s="12"/>
    </row>
    <row r="141" spans="1:18">
      <c r="A141" s="13" t="s">
        <v>1694</v>
      </c>
      <c r="B141" s="13" t="s">
        <v>1664</v>
      </c>
      <c r="C141" s="13" t="s">
        <v>1665</v>
      </c>
      <c r="D141" s="12" t="s">
        <v>1695</v>
      </c>
      <c r="E141" s="12"/>
      <c r="F141" s="12"/>
      <c r="G141" s="12" t="s">
        <v>1696</v>
      </c>
      <c r="H141" s="13" t="s">
        <v>52</v>
      </c>
      <c r="I141" s="13" t="s">
        <v>460</v>
      </c>
      <c r="J141" s="13" t="s">
        <v>1247</v>
      </c>
      <c r="K141" s="13" t="s">
        <v>1248</v>
      </c>
      <c r="L141" s="13" t="s">
        <v>1668</v>
      </c>
      <c r="M141" s="13" t="s">
        <v>1669</v>
      </c>
      <c r="N141" s="13" t="s">
        <v>220</v>
      </c>
      <c r="O141" s="15">
        <f>总览!$C$5+4</f>
        <v>46219</v>
      </c>
      <c r="P141" s="15"/>
      <c r="Q141" s="12"/>
      <c r="R141" s="12"/>
    </row>
    <row r="142" spans="1:18">
      <c r="A142" s="13" t="s">
        <v>1697</v>
      </c>
      <c r="B142" s="13" t="s">
        <v>1664</v>
      </c>
      <c r="C142" s="13" t="s">
        <v>1665</v>
      </c>
      <c r="D142" s="12" t="s">
        <v>1698</v>
      </c>
      <c r="E142" s="12"/>
      <c r="F142" s="12"/>
      <c r="G142" s="12" t="s">
        <v>1699</v>
      </c>
      <c r="H142" s="13" t="s">
        <v>52</v>
      </c>
      <c r="I142" s="13" t="s">
        <v>460</v>
      </c>
      <c r="J142" s="13" t="s">
        <v>1247</v>
      </c>
      <c r="K142" s="13" t="s">
        <v>1248</v>
      </c>
      <c r="L142" s="13" t="s">
        <v>1668</v>
      </c>
      <c r="M142" s="13" t="s">
        <v>1669</v>
      </c>
      <c r="N142" s="13" t="s">
        <v>220</v>
      </c>
      <c r="O142" s="15">
        <f>总览!$C$5+4</f>
        <v>46219</v>
      </c>
      <c r="P142" s="15"/>
      <c r="Q142" s="12"/>
      <c r="R142" s="12"/>
    </row>
    <row r="143" spans="1:18">
      <c r="A143" s="13" t="s">
        <v>1700</v>
      </c>
      <c r="B143" s="13" t="s">
        <v>1664</v>
      </c>
      <c r="C143" s="13" t="s">
        <v>1665</v>
      </c>
      <c r="D143" s="12" t="s">
        <v>1701</v>
      </c>
      <c r="E143" s="12"/>
      <c r="F143" s="12"/>
      <c r="G143" s="12" t="s">
        <v>1702</v>
      </c>
      <c r="H143" s="13" t="s">
        <v>52</v>
      </c>
      <c r="I143" s="13" t="s">
        <v>460</v>
      </c>
      <c r="J143" s="13" t="s">
        <v>1247</v>
      </c>
      <c r="K143" s="13" t="s">
        <v>1248</v>
      </c>
      <c r="L143" s="13" t="s">
        <v>1668</v>
      </c>
      <c r="M143" s="13" t="s">
        <v>1669</v>
      </c>
      <c r="N143" s="13" t="s">
        <v>220</v>
      </c>
      <c r="O143" s="15">
        <f>总览!$C$5+4</f>
        <v>46219</v>
      </c>
      <c r="P143" s="15"/>
      <c r="Q143" s="12"/>
      <c r="R143" s="12"/>
    </row>
    <row r="144" spans="1:18" ht="23.25">
      <c r="A144" s="13" t="s">
        <v>1703</v>
      </c>
      <c r="B144" s="13" t="s">
        <v>1664</v>
      </c>
      <c r="C144" s="13" t="s">
        <v>1665</v>
      </c>
      <c r="D144" s="12" t="s">
        <v>1704</v>
      </c>
      <c r="E144" s="12"/>
      <c r="F144" s="12"/>
      <c r="G144" s="12" t="s">
        <v>1705</v>
      </c>
      <c r="H144" s="13" t="s">
        <v>52</v>
      </c>
      <c r="I144" s="13" t="s">
        <v>460</v>
      </c>
      <c r="J144" s="13" t="s">
        <v>1247</v>
      </c>
      <c r="K144" s="13" t="s">
        <v>1248</v>
      </c>
      <c r="L144" s="13" t="s">
        <v>1668</v>
      </c>
      <c r="M144" s="13" t="s">
        <v>1669</v>
      </c>
      <c r="N144" s="13" t="s">
        <v>220</v>
      </c>
      <c r="O144" s="15">
        <f>总览!$C$5+4</f>
        <v>46219</v>
      </c>
      <c r="P144" s="15"/>
      <c r="Q144" s="12"/>
      <c r="R144" s="12"/>
    </row>
    <row r="145" spans="1:18">
      <c r="A145" s="13" t="s">
        <v>1706</v>
      </c>
      <c r="B145" s="13" t="s">
        <v>1664</v>
      </c>
      <c r="C145" s="13" t="s">
        <v>1665</v>
      </c>
      <c r="D145" s="12" t="s">
        <v>1707</v>
      </c>
      <c r="E145" s="12"/>
      <c r="F145" s="12"/>
      <c r="G145" s="12" t="s">
        <v>1708</v>
      </c>
      <c r="H145" s="13" t="s">
        <v>52</v>
      </c>
      <c r="I145" s="13" t="s">
        <v>460</v>
      </c>
      <c r="J145" s="13" t="s">
        <v>1247</v>
      </c>
      <c r="K145" s="13" t="s">
        <v>1248</v>
      </c>
      <c r="L145" s="13" t="s">
        <v>1668</v>
      </c>
      <c r="M145" s="13" t="s">
        <v>1669</v>
      </c>
      <c r="N145" s="13" t="s">
        <v>220</v>
      </c>
      <c r="O145" s="15">
        <f>总览!$C$5+4</f>
        <v>46219</v>
      </c>
      <c r="P145" s="15"/>
      <c r="Q145" s="12"/>
      <c r="R145" s="12"/>
    </row>
    <row r="146" spans="1:18">
      <c r="A146" s="13" t="s">
        <v>1709</v>
      </c>
      <c r="B146" s="13" t="s">
        <v>1664</v>
      </c>
      <c r="C146" s="13" t="s">
        <v>1665</v>
      </c>
      <c r="D146" s="12" t="s">
        <v>1710</v>
      </c>
      <c r="E146" s="12"/>
      <c r="F146" s="12"/>
      <c r="G146" s="12" t="s">
        <v>1711</v>
      </c>
      <c r="H146" s="13" t="s">
        <v>52</v>
      </c>
      <c r="I146" s="13" t="s">
        <v>460</v>
      </c>
      <c r="J146" s="13" t="s">
        <v>1247</v>
      </c>
      <c r="K146" s="13" t="s">
        <v>1248</v>
      </c>
      <c r="L146" s="13" t="s">
        <v>1668</v>
      </c>
      <c r="M146" s="13" t="s">
        <v>1669</v>
      </c>
      <c r="N146" s="13" t="s">
        <v>220</v>
      </c>
      <c r="O146" s="15">
        <f>总览!$C$5+4</f>
        <v>46219</v>
      </c>
      <c r="P146" s="15"/>
      <c r="Q146" s="12"/>
      <c r="R146" s="12"/>
    </row>
    <row r="147" spans="1:18">
      <c r="A147" s="13" t="s">
        <v>1712</v>
      </c>
      <c r="B147" s="13" t="s">
        <v>1664</v>
      </c>
      <c r="C147" s="13" t="s">
        <v>1665</v>
      </c>
      <c r="D147" s="12" t="s">
        <v>1713</v>
      </c>
      <c r="E147" s="12"/>
      <c r="F147" s="12"/>
      <c r="G147" s="12" t="s">
        <v>1714</v>
      </c>
      <c r="H147" s="13" t="s">
        <v>52</v>
      </c>
      <c r="I147" s="13" t="s">
        <v>460</v>
      </c>
      <c r="J147" s="13" t="s">
        <v>1247</v>
      </c>
      <c r="K147" s="13" t="s">
        <v>1248</v>
      </c>
      <c r="L147" s="13" t="s">
        <v>1668</v>
      </c>
      <c r="M147" s="13" t="s">
        <v>1669</v>
      </c>
      <c r="N147" s="13" t="s">
        <v>220</v>
      </c>
      <c r="O147" s="15">
        <f>总览!$C$5+4</f>
        <v>46219</v>
      </c>
      <c r="P147" s="15"/>
      <c r="Q147" s="12"/>
      <c r="R147" s="12"/>
    </row>
    <row r="148" spans="1:18">
      <c r="A148" s="13" t="s">
        <v>1715</v>
      </c>
      <c r="B148" s="13" t="s">
        <v>1664</v>
      </c>
      <c r="C148" s="13" t="s">
        <v>1665</v>
      </c>
      <c r="D148" s="12" t="s">
        <v>1716</v>
      </c>
      <c r="E148" s="12"/>
      <c r="F148" s="12"/>
      <c r="G148" s="12" t="s">
        <v>1717</v>
      </c>
      <c r="H148" s="13" t="s">
        <v>52</v>
      </c>
      <c r="I148" s="13" t="s">
        <v>460</v>
      </c>
      <c r="J148" s="13" t="s">
        <v>1247</v>
      </c>
      <c r="K148" s="13" t="s">
        <v>1248</v>
      </c>
      <c r="L148" s="13" t="s">
        <v>1668</v>
      </c>
      <c r="M148" s="13" t="s">
        <v>1669</v>
      </c>
      <c r="N148" s="13" t="s">
        <v>220</v>
      </c>
      <c r="O148" s="15">
        <f>总览!$C$5+4</f>
        <v>46219</v>
      </c>
      <c r="P148" s="15"/>
      <c r="Q148" s="12"/>
      <c r="R148" s="12"/>
    </row>
    <row r="149" spans="1:18">
      <c r="A149" s="13" t="s">
        <v>1718</v>
      </c>
      <c r="B149" s="13" t="s">
        <v>1664</v>
      </c>
      <c r="C149" s="13" t="s">
        <v>1665</v>
      </c>
      <c r="D149" s="12" t="s">
        <v>1719</v>
      </c>
      <c r="E149" s="12"/>
      <c r="F149" s="12"/>
      <c r="G149" s="12" t="s">
        <v>1720</v>
      </c>
      <c r="H149" s="13" t="s">
        <v>52</v>
      </c>
      <c r="I149" s="13" t="s">
        <v>460</v>
      </c>
      <c r="J149" s="13" t="s">
        <v>1247</v>
      </c>
      <c r="K149" s="13" t="s">
        <v>1248</v>
      </c>
      <c r="L149" s="13" t="s">
        <v>1668</v>
      </c>
      <c r="M149" s="13" t="s">
        <v>1669</v>
      </c>
      <c r="N149" s="13" t="s">
        <v>220</v>
      </c>
      <c r="O149" s="15">
        <f>总览!$C$5+4</f>
        <v>46219</v>
      </c>
      <c r="P149" s="15"/>
      <c r="Q149" s="12"/>
      <c r="R149" s="12"/>
    </row>
    <row r="150" spans="1:18">
      <c r="A150" s="13" t="s">
        <v>1721</v>
      </c>
      <c r="B150" s="13" t="s">
        <v>1664</v>
      </c>
      <c r="C150" s="13" t="s">
        <v>1665</v>
      </c>
      <c r="D150" s="12" t="s">
        <v>1722</v>
      </c>
      <c r="E150" s="12"/>
      <c r="F150" s="12"/>
      <c r="G150" s="12" t="s">
        <v>1723</v>
      </c>
      <c r="H150" s="13" t="s">
        <v>52</v>
      </c>
      <c r="I150" s="13" t="s">
        <v>460</v>
      </c>
      <c r="J150" s="13" t="s">
        <v>1247</v>
      </c>
      <c r="K150" s="13" t="s">
        <v>1248</v>
      </c>
      <c r="L150" s="13" t="s">
        <v>1668</v>
      </c>
      <c r="M150" s="13" t="s">
        <v>1669</v>
      </c>
      <c r="N150" s="13" t="s">
        <v>220</v>
      </c>
      <c r="O150" s="15">
        <f>总览!$C$5+4</f>
        <v>46219</v>
      </c>
      <c r="P150" s="15"/>
      <c r="Q150" s="12"/>
      <c r="R150" s="12"/>
    </row>
    <row r="151" spans="1:18">
      <c r="A151" s="13" t="s">
        <v>1724</v>
      </c>
      <c r="B151" s="13" t="s">
        <v>1664</v>
      </c>
      <c r="C151" s="13" t="s">
        <v>1665</v>
      </c>
      <c r="D151" s="12" t="s">
        <v>1725</v>
      </c>
      <c r="E151" s="12"/>
      <c r="F151" s="12"/>
      <c r="G151" s="12" t="s">
        <v>1726</v>
      </c>
      <c r="H151" s="13" t="s">
        <v>52</v>
      </c>
      <c r="I151" s="13" t="s">
        <v>460</v>
      </c>
      <c r="J151" s="13" t="s">
        <v>1247</v>
      </c>
      <c r="K151" s="13" t="s">
        <v>1248</v>
      </c>
      <c r="L151" s="13" t="s">
        <v>1668</v>
      </c>
      <c r="M151" s="13" t="s">
        <v>1669</v>
      </c>
      <c r="N151" s="13" t="s">
        <v>220</v>
      </c>
      <c r="O151" s="15">
        <f>总览!$C$5+4</f>
        <v>46219</v>
      </c>
      <c r="P151" s="15"/>
      <c r="Q151" s="12"/>
      <c r="R151" s="12"/>
    </row>
    <row r="152" spans="1:18">
      <c r="A152" s="13" t="s">
        <v>1727</v>
      </c>
      <c r="B152" s="13" t="s">
        <v>1664</v>
      </c>
      <c r="C152" s="13" t="s">
        <v>1665</v>
      </c>
      <c r="D152" s="12" t="s">
        <v>972</v>
      </c>
      <c r="E152" s="12"/>
      <c r="F152" s="12"/>
      <c r="G152" s="12" t="s">
        <v>1728</v>
      </c>
      <c r="H152" s="13" t="s">
        <v>52</v>
      </c>
      <c r="I152" s="13" t="s">
        <v>460</v>
      </c>
      <c r="J152" s="13" t="s">
        <v>1247</v>
      </c>
      <c r="K152" s="13" t="s">
        <v>1248</v>
      </c>
      <c r="L152" s="13" t="s">
        <v>1668</v>
      </c>
      <c r="M152" s="13" t="s">
        <v>1669</v>
      </c>
      <c r="N152" s="13" t="s">
        <v>220</v>
      </c>
      <c r="O152" s="15">
        <f>总览!$C$5+4</f>
        <v>46219</v>
      </c>
      <c r="P152" s="15"/>
      <c r="Q152" s="12"/>
      <c r="R152" s="12"/>
    </row>
    <row r="153" spans="1:18">
      <c r="A153" s="13" t="s">
        <v>1729</v>
      </c>
      <c r="B153" s="13" t="s">
        <v>1664</v>
      </c>
      <c r="C153" s="13" t="s">
        <v>1665</v>
      </c>
      <c r="D153" s="12" t="s">
        <v>976</v>
      </c>
      <c r="E153" s="12"/>
      <c r="F153" s="12"/>
      <c r="G153" s="12" t="s">
        <v>1730</v>
      </c>
      <c r="H153" s="13" t="s">
        <v>52</v>
      </c>
      <c r="I153" s="13" t="s">
        <v>460</v>
      </c>
      <c r="J153" s="13" t="s">
        <v>1247</v>
      </c>
      <c r="K153" s="13" t="s">
        <v>1248</v>
      </c>
      <c r="L153" s="13" t="s">
        <v>1668</v>
      </c>
      <c r="M153" s="13" t="s">
        <v>1669</v>
      </c>
      <c r="N153" s="13" t="s">
        <v>220</v>
      </c>
      <c r="O153" s="15">
        <f>总览!$C$5+4</f>
        <v>46219</v>
      </c>
      <c r="P153" s="15"/>
      <c r="Q153" s="12"/>
      <c r="R153" s="12"/>
    </row>
    <row r="154" spans="1:18">
      <c r="A154" s="13" t="s">
        <v>1731</v>
      </c>
      <c r="B154" s="13" t="s">
        <v>1664</v>
      </c>
      <c r="C154" s="13" t="s">
        <v>1665</v>
      </c>
      <c r="D154" s="12" t="s">
        <v>1732</v>
      </c>
      <c r="E154" s="12"/>
      <c r="F154" s="12"/>
      <c r="G154" s="12" t="s">
        <v>1733</v>
      </c>
      <c r="H154" s="13" t="s">
        <v>52</v>
      </c>
      <c r="I154" s="13" t="s">
        <v>460</v>
      </c>
      <c r="J154" s="13" t="s">
        <v>1247</v>
      </c>
      <c r="K154" s="13" t="s">
        <v>1248</v>
      </c>
      <c r="L154" s="13" t="s">
        <v>1668</v>
      </c>
      <c r="M154" s="13" t="s">
        <v>1669</v>
      </c>
      <c r="N154" s="13" t="s">
        <v>220</v>
      </c>
      <c r="O154" s="15">
        <f>总览!$C$5+4</f>
        <v>46219</v>
      </c>
      <c r="P154" s="15"/>
      <c r="Q154" s="12"/>
      <c r="R154" s="12"/>
    </row>
    <row r="155" spans="1:18">
      <c r="A155" s="13" t="s">
        <v>1734</v>
      </c>
      <c r="B155" s="13" t="s">
        <v>1664</v>
      </c>
      <c r="C155" s="13" t="s">
        <v>1665</v>
      </c>
      <c r="D155" s="12" t="s">
        <v>1735</v>
      </c>
      <c r="E155" s="12"/>
      <c r="F155" s="12"/>
      <c r="G155" s="12" t="s">
        <v>1736</v>
      </c>
      <c r="H155" s="13" t="s">
        <v>52</v>
      </c>
      <c r="I155" s="13" t="s">
        <v>460</v>
      </c>
      <c r="J155" s="13" t="s">
        <v>1247</v>
      </c>
      <c r="K155" s="13" t="s">
        <v>1248</v>
      </c>
      <c r="L155" s="13" t="s">
        <v>1668</v>
      </c>
      <c r="M155" s="13" t="s">
        <v>1669</v>
      </c>
      <c r="N155" s="13" t="s">
        <v>220</v>
      </c>
      <c r="O155" s="15">
        <f>总览!$C$5+4</f>
        <v>46219</v>
      </c>
      <c r="P155" s="15"/>
      <c r="Q155" s="12"/>
      <c r="R155" s="12"/>
    </row>
    <row r="156" spans="1:18">
      <c r="A156" s="13" t="s">
        <v>1737</v>
      </c>
      <c r="B156" s="13" t="s">
        <v>1664</v>
      </c>
      <c r="C156" s="13" t="s">
        <v>1665</v>
      </c>
      <c r="D156" s="12" t="s">
        <v>1738</v>
      </c>
      <c r="E156" s="12"/>
      <c r="F156" s="12"/>
      <c r="G156" s="12" t="s">
        <v>1739</v>
      </c>
      <c r="H156" s="13" t="s">
        <v>52</v>
      </c>
      <c r="I156" s="13" t="s">
        <v>460</v>
      </c>
      <c r="J156" s="13" t="s">
        <v>1247</v>
      </c>
      <c r="K156" s="13" t="s">
        <v>1248</v>
      </c>
      <c r="L156" s="13" t="s">
        <v>1668</v>
      </c>
      <c r="M156" s="13" t="s">
        <v>1669</v>
      </c>
      <c r="N156" s="13" t="s">
        <v>220</v>
      </c>
      <c r="O156" s="15">
        <f>总览!$C$5+4</f>
        <v>46219</v>
      </c>
      <c r="P156" s="15"/>
      <c r="Q156" s="12"/>
      <c r="R156" s="12"/>
    </row>
    <row r="157" spans="1:18">
      <c r="A157" s="13" t="s">
        <v>1740</v>
      </c>
      <c r="B157" s="13" t="s">
        <v>1664</v>
      </c>
      <c r="C157" s="13" t="s">
        <v>1665</v>
      </c>
      <c r="D157" s="12" t="s">
        <v>1741</v>
      </c>
      <c r="E157" s="12"/>
      <c r="F157" s="12"/>
      <c r="G157" s="12" t="s">
        <v>1742</v>
      </c>
      <c r="H157" s="13" t="s">
        <v>52</v>
      </c>
      <c r="I157" s="13" t="s">
        <v>460</v>
      </c>
      <c r="J157" s="13" t="s">
        <v>1247</v>
      </c>
      <c r="K157" s="13" t="s">
        <v>1248</v>
      </c>
      <c r="L157" s="13" t="s">
        <v>1668</v>
      </c>
      <c r="M157" s="13" t="s">
        <v>1669</v>
      </c>
      <c r="N157" s="13" t="s">
        <v>220</v>
      </c>
      <c r="O157" s="15">
        <f>总览!$C$5+4</f>
        <v>46219</v>
      </c>
      <c r="P157" s="15"/>
      <c r="Q157" s="12"/>
      <c r="R157" s="12"/>
    </row>
    <row r="158" spans="1:18">
      <c r="A158" s="13" t="s">
        <v>1743</v>
      </c>
      <c r="B158" s="13" t="s">
        <v>1664</v>
      </c>
      <c r="C158" s="13" t="s">
        <v>1665</v>
      </c>
      <c r="D158" s="12" t="s">
        <v>1744</v>
      </c>
      <c r="E158" s="12"/>
      <c r="F158" s="12"/>
      <c r="G158" s="12" t="s">
        <v>1745</v>
      </c>
      <c r="H158" s="13" t="s">
        <v>52</v>
      </c>
      <c r="I158" s="13" t="s">
        <v>460</v>
      </c>
      <c r="J158" s="13" t="s">
        <v>1247</v>
      </c>
      <c r="K158" s="13" t="s">
        <v>1248</v>
      </c>
      <c r="L158" s="13" t="s">
        <v>1668</v>
      </c>
      <c r="M158" s="13" t="s">
        <v>1669</v>
      </c>
      <c r="N158" s="13" t="s">
        <v>220</v>
      </c>
      <c r="O158" s="15">
        <f>总览!$C$5+4</f>
        <v>46219</v>
      </c>
      <c r="P158" s="15"/>
      <c r="Q158" s="12"/>
      <c r="R158" s="12"/>
    </row>
    <row r="159" spans="1:18">
      <c r="A159" s="13" t="s">
        <v>1746</v>
      </c>
      <c r="B159" s="13" t="s">
        <v>1664</v>
      </c>
      <c r="C159" s="13" t="s">
        <v>1665</v>
      </c>
      <c r="D159" s="12" t="s">
        <v>999</v>
      </c>
      <c r="E159" s="12"/>
      <c r="F159" s="12"/>
      <c r="G159" s="12" t="s">
        <v>1747</v>
      </c>
      <c r="H159" s="13" t="s">
        <v>52</v>
      </c>
      <c r="I159" s="13" t="s">
        <v>460</v>
      </c>
      <c r="J159" s="13" t="s">
        <v>1247</v>
      </c>
      <c r="K159" s="13" t="s">
        <v>1248</v>
      </c>
      <c r="L159" s="13" t="s">
        <v>1668</v>
      </c>
      <c r="M159" s="13" t="s">
        <v>1669</v>
      </c>
      <c r="N159" s="13" t="s">
        <v>220</v>
      </c>
      <c r="O159" s="15">
        <f>总览!$C$5+4</f>
        <v>46219</v>
      </c>
      <c r="P159" s="15"/>
      <c r="Q159" s="12"/>
      <c r="R159" s="12"/>
    </row>
    <row r="160" spans="1:18">
      <c r="A160" s="13" t="s">
        <v>1748</v>
      </c>
      <c r="B160" s="13" t="s">
        <v>1664</v>
      </c>
      <c r="C160" s="13" t="s">
        <v>1665</v>
      </c>
      <c r="D160" s="12" t="s">
        <v>851</v>
      </c>
      <c r="E160" s="12"/>
      <c r="F160" s="12"/>
      <c r="G160" s="12" t="s">
        <v>1749</v>
      </c>
      <c r="H160" s="13" t="s">
        <v>52</v>
      </c>
      <c r="I160" s="13" t="s">
        <v>460</v>
      </c>
      <c r="J160" s="13" t="s">
        <v>1247</v>
      </c>
      <c r="K160" s="13" t="s">
        <v>1248</v>
      </c>
      <c r="L160" s="13" t="s">
        <v>1668</v>
      </c>
      <c r="M160" s="13" t="s">
        <v>1669</v>
      </c>
      <c r="N160" s="13" t="s">
        <v>220</v>
      </c>
      <c r="O160" s="15">
        <f>总览!$C$5+4</f>
        <v>46219</v>
      </c>
      <c r="P160" s="15"/>
      <c r="Q160" s="12"/>
      <c r="R160" s="12"/>
    </row>
    <row r="161" spans="1:18">
      <c r="A161" s="13" t="s">
        <v>1750</v>
      </c>
      <c r="B161" s="13" t="s">
        <v>1664</v>
      </c>
      <c r="C161" s="13" t="s">
        <v>1665</v>
      </c>
      <c r="D161" s="12" t="s">
        <v>846</v>
      </c>
      <c r="E161" s="12"/>
      <c r="F161" s="12"/>
      <c r="G161" s="12" t="s">
        <v>1751</v>
      </c>
      <c r="H161" s="13" t="s">
        <v>52</v>
      </c>
      <c r="I161" s="13" t="s">
        <v>460</v>
      </c>
      <c r="J161" s="13" t="s">
        <v>1247</v>
      </c>
      <c r="K161" s="13" t="s">
        <v>1248</v>
      </c>
      <c r="L161" s="13" t="s">
        <v>1668</v>
      </c>
      <c r="M161" s="13" t="s">
        <v>1669</v>
      </c>
      <c r="N161" s="13" t="s">
        <v>220</v>
      </c>
      <c r="O161" s="15">
        <f>总览!$C$5+4</f>
        <v>46219</v>
      </c>
      <c r="P161" s="15"/>
      <c r="Q161" s="12"/>
      <c r="R161" s="12"/>
    </row>
    <row r="162" spans="1:18">
      <c r="A162" s="13" t="s">
        <v>1752</v>
      </c>
      <c r="B162" s="13" t="s">
        <v>1664</v>
      </c>
      <c r="C162" s="13" t="s">
        <v>1665</v>
      </c>
      <c r="D162" s="12" t="s">
        <v>1753</v>
      </c>
      <c r="E162" s="12"/>
      <c r="F162" s="12"/>
      <c r="G162" s="12" t="s">
        <v>1754</v>
      </c>
      <c r="H162" s="13" t="s">
        <v>52</v>
      </c>
      <c r="I162" s="13" t="s">
        <v>460</v>
      </c>
      <c r="J162" s="13" t="s">
        <v>1247</v>
      </c>
      <c r="K162" s="13" t="s">
        <v>1248</v>
      </c>
      <c r="L162" s="13" t="s">
        <v>1668</v>
      </c>
      <c r="M162" s="13" t="s">
        <v>1669</v>
      </c>
      <c r="N162" s="13" t="s">
        <v>220</v>
      </c>
      <c r="O162" s="15">
        <f>总览!$C$5+4</f>
        <v>46219</v>
      </c>
      <c r="P162" s="15"/>
      <c r="Q162" s="12"/>
      <c r="R162" s="12"/>
    </row>
    <row r="163" spans="1:18" ht="23.25">
      <c r="A163" s="13" t="s">
        <v>1755</v>
      </c>
      <c r="B163" s="13" t="s">
        <v>1664</v>
      </c>
      <c r="C163" s="13" t="s">
        <v>1665</v>
      </c>
      <c r="D163" s="12" t="s">
        <v>1756</v>
      </c>
      <c r="E163" s="12"/>
      <c r="F163" s="12"/>
      <c r="G163" s="12" t="s">
        <v>1757</v>
      </c>
      <c r="H163" s="13" t="s">
        <v>52</v>
      </c>
      <c r="I163" s="13" t="s">
        <v>460</v>
      </c>
      <c r="J163" s="13" t="s">
        <v>1247</v>
      </c>
      <c r="K163" s="13" t="s">
        <v>1248</v>
      </c>
      <c r="L163" s="13" t="s">
        <v>1668</v>
      </c>
      <c r="M163" s="13" t="s">
        <v>1669</v>
      </c>
      <c r="N163" s="13" t="s">
        <v>220</v>
      </c>
      <c r="O163" s="15">
        <f>总览!$C$5+4</f>
        <v>46219</v>
      </c>
      <c r="P163" s="15"/>
      <c r="Q163" s="12"/>
      <c r="R163" s="12"/>
    </row>
    <row r="164" spans="1:18">
      <c r="A164" s="13" t="s">
        <v>1758</v>
      </c>
      <c r="B164" s="13" t="s">
        <v>1759</v>
      </c>
      <c r="C164" s="13" t="s">
        <v>506</v>
      </c>
      <c r="D164" s="12" t="s">
        <v>1760</v>
      </c>
      <c r="E164" s="12" t="s">
        <v>1761</v>
      </c>
      <c r="F164" s="12" t="s">
        <v>1762</v>
      </c>
      <c r="G164" s="12" t="s">
        <v>1763</v>
      </c>
      <c r="H164" s="13" t="s">
        <v>52</v>
      </c>
      <c r="I164" s="13" t="s">
        <v>460</v>
      </c>
      <c r="J164" s="13" t="s">
        <v>1247</v>
      </c>
      <c r="K164" s="13" t="s">
        <v>1764</v>
      </c>
      <c r="L164" s="13" t="s">
        <v>1765</v>
      </c>
      <c r="M164" s="13" t="s">
        <v>28</v>
      </c>
      <c r="N164" s="13" t="s">
        <v>220</v>
      </c>
      <c r="O164" s="15">
        <f>总览!$C$5+4</f>
        <v>46219</v>
      </c>
      <c r="P164" s="15"/>
      <c r="Q164" s="12"/>
      <c r="R164" s="12"/>
    </row>
    <row r="165" spans="1:18">
      <c r="A165" s="13" t="s">
        <v>1766</v>
      </c>
      <c r="B165" s="13" t="s">
        <v>1759</v>
      </c>
      <c r="C165" s="13" t="s">
        <v>506</v>
      </c>
      <c r="D165" s="12" t="s">
        <v>1767</v>
      </c>
      <c r="E165" s="12" t="s">
        <v>1768</v>
      </c>
      <c r="F165" s="12" t="s">
        <v>1769</v>
      </c>
      <c r="G165" s="12" t="s">
        <v>1770</v>
      </c>
      <c r="H165" s="13" t="s">
        <v>52</v>
      </c>
      <c r="I165" s="13" t="s">
        <v>460</v>
      </c>
      <c r="J165" s="13" t="s">
        <v>1247</v>
      </c>
      <c r="K165" s="13" t="s">
        <v>1764</v>
      </c>
      <c r="L165" s="13" t="s">
        <v>1765</v>
      </c>
      <c r="M165" s="13" t="s">
        <v>28</v>
      </c>
      <c r="N165" s="13" t="s">
        <v>220</v>
      </c>
      <c r="O165" s="15">
        <f>总览!$C$5+4</f>
        <v>46219</v>
      </c>
      <c r="P165" s="15"/>
      <c r="Q165" s="12"/>
      <c r="R165" s="12"/>
    </row>
    <row r="166" spans="1:18">
      <c r="A166" s="13" t="s">
        <v>1771</v>
      </c>
      <c r="B166" s="13" t="s">
        <v>1759</v>
      </c>
      <c r="C166" s="13" t="s">
        <v>506</v>
      </c>
      <c r="D166" s="12" t="s">
        <v>1772</v>
      </c>
      <c r="E166" s="12" t="s">
        <v>1773</v>
      </c>
      <c r="F166" s="12" t="s">
        <v>1774</v>
      </c>
      <c r="G166" s="12" t="s">
        <v>1775</v>
      </c>
      <c r="H166" s="13" t="s">
        <v>52</v>
      </c>
      <c r="I166" s="13" t="s">
        <v>460</v>
      </c>
      <c r="J166" s="13" t="s">
        <v>1247</v>
      </c>
      <c r="K166" s="13" t="s">
        <v>1764</v>
      </c>
      <c r="L166" s="13" t="s">
        <v>1765</v>
      </c>
      <c r="M166" s="13" t="s">
        <v>28</v>
      </c>
      <c r="N166" s="13" t="s">
        <v>220</v>
      </c>
      <c r="O166" s="15">
        <f>总览!$C$5+4</f>
        <v>46219</v>
      </c>
      <c r="P166" s="15"/>
      <c r="Q166" s="12"/>
      <c r="R166" s="12"/>
    </row>
    <row r="167" spans="1:18">
      <c r="A167" s="13" t="s">
        <v>1776</v>
      </c>
      <c r="B167" s="13" t="s">
        <v>1759</v>
      </c>
      <c r="C167" s="13" t="s">
        <v>506</v>
      </c>
      <c r="D167" s="12" t="s">
        <v>1777</v>
      </c>
      <c r="E167" s="12" t="s">
        <v>1778</v>
      </c>
      <c r="F167" s="12" t="s">
        <v>1779</v>
      </c>
      <c r="G167" s="12" t="s">
        <v>1780</v>
      </c>
      <c r="H167" s="13" t="s">
        <v>52</v>
      </c>
      <c r="I167" s="13" t="s">
        <v>460</v>
      </c>
      <c r="J167" s="13" t="s">
        <v>1247</v>
      </c>
      <c r="K167" s="13" t="s">
        <v>1764</v>
      </c>
      <c r="L167" s="13" t="s">
        <v>1765</v>
      </c>
      <c r="M167" s="13" t="s">
        <v>28</v>
      </c>
      <c r="N167" s="13" t="s">
        <v>220</v>
      </c>
      <c r="O167" s="15">
        <f>总览!$C$5+4</f>
        <v>46219</v>
      </c>
      <c r="P167" s="15"/>
      <c r="Q167" s="12"/>
      <c r="R167" s="12"/>
    </row>
    <row r="168" spans="1:18">
      <c r="A168" s="13" t="s">
        <v>1781</v>
      </c>
      <c r="B168" s="13" t="s">
        <v>1759</v>
      </c>
      <c r="C168" s="13" t="s">
        <v>506</v>
      </c>
      <c r="D168" s="12" t="s">
        <v>1782</v>
      </c>
      <c r="E168" s="12" t="s">
        <v>1773</v>
      </c>
      <c r="F168" s="12" t="s">
        <v>1783</v>
      </c>
      <c r="G168" s="12" t="s">
        <v>1784</v>
      </c>
      <c r="H168" s="13" t="s">
        <v>52</v>
      </c>
      <c r="I168" s="13" t="s">
        <v>460</v>
      </c>
      <c r="J168" s="13" t="s">
        <v>1247</v>
      </c>
      <c r="K168" s="13" t="s">
        <v>1764</v>
      </c>
      <c r="L168" s="13" t="s">
        <v>1765</v>
      </c>
      <c r="M168" s="13" t="s">
        <v>28</v>
      </c>
      <c r="N168" s="13" t="s">
        <v>220</v>
      </c>
      <c r="O168" s="15">
        <f>总览!$C$5+4</f>
        <v>46219</v>
      </c>
      <c r="P168" s="15"/>
      <c r="Q168" s="12"/>
      <c r="R168" s="12"/>
    </row>
    <row r="169" spans="1:18">
      <c r="A169" s="13" t="s">
        <v>1785</v>
      </c>
      <c r="B169" s="13" t="s">
        <v>1759</v>
      </c>
      <c r="C169" s="13" t="s">
        <v>506</v>
      </c>
      <c r="D169" s="12" t="s">
        <v>1786</v>
      </c>
      <c r="E169" s="12" t="s">
        <v>1787</v>
      </c>
      <c r="F169" s="12" t="s">
        <v>1245</v>
      </c>
      <c r="G169" s="12" t="s">
        <v>1788</v>
      </c>
      <c r="H169" s="13" t="s">
        <v>52</v>
      </c>
      <c r="I169" s="13" t="s">
        <v>460</v>
      </c>
      <c r="J169" s="13" t="s">
        <v>1247</v>
      </c>
      <c r="K169" s="13" t="s">
        <v>1764</v>
      </c>
      <c r="L169" s="13" t="s">
        <v>1765</v>
      </c>
      <c r="M169" s="13" t="s">
        <v>28</v>
      </c>
      <c r="N169" s="13" t="s">
        <v>220</v>
      </c>
      <c r="O169" s="15">
        <f>总览!$C$5+4</f>
        <v>46219</v>
      </c>
      <c r="P169" s="15"/>
      <c r="Q169" s="12"/>
      <c r="R169" s="12"/>
    </row>
    <row r="170" spans="1:18">
      <c r="A170" s="13" t="s">
        <v>1789</v>
      </c>
      <c r="B170" s="13" t="s">
        <v>1759</v>
      </c>
      <c r="C170" s="13" t="s">
        <v>506</v>
      </c>
      <c r="D170" s="12" t="s">
        <v>1790</v>
      </c>
      <c r="E170" s="12" t="s">
        <v>1791</v>
      </c>
      <c r="F170" s="12" t="s">
        <v>1792</v>
      </c>
      <c r="G170" s="12" t="s">
        <v>1793</v>
      </c>
      <c r="H170" s="13" t="s">
        <v>52</v>
      </c>
      <c r="I170" s="13" t="s">
        <v>460</v>
      </c>
      <c r="J170" s="13" t="s">
        <v>1247</v>
      </c>
      <c r="K170" s="13" t="s">
        <v>1764</v>
      </c>
      <c r="L170" s="13" t="s">
        <v>1765</v>
      </c>
      <c r="M170" s="13" t="s">
        <v>28</v>
      </c>
      <c r="N170" s="13" t="s">
        <v>220</v>
      </c>
      <c r="O170" s="15">
        <f>总览!$C$5+4</f>
        <v>46219</v>
      </c>
      <c r="P170" s="15"/>
      <c r="Q170" s="12"/>
      <c r="R170" s="12"/>
    </row>
    <row r="171" spans="1:18">
      <c r="A171" s="13" t="s">
        <v>1794</v>
      </c>
      <c r="B171" s="13" t="s">
        <v>1759</v>
      </c>
      <c r="C171" s="13" t="s">
        <v>506</v>
      </c>
      <c r="D171" s="12" t="s">
        <v>1795</v>
      </c>
      <c r="E171" s="12" t="s">
        <v>1796</v>
      </c>
      <c r="F171" s="12" t="s">
        <v>1797</v>
      </c>
      <c r="G171" s="12" t="s">
        <v>1798</v>
      </c>
      <c r="H171" s="13" t="s">
        <v>52</v>
      </c>
      <c r="I171" s="13" t="s">
        <v>460</v>
      </c>
      <c r="J171" s="13" t="s">
        <v>1247</v>
      </c>
      <c r="K171" s="13" t="s">
        <v>1764</v>
      </c>
      <c r="L171" s="13" t="s">
        <v>1765</v>
      </c>
      <c r="M171" s="13" t="s">
        <v>28</v>
      </c>
      <c r="N171" s="13" t="s">
        <v>220</v>
      </c>
      <c r="O171" s="15">
        <f>总览!$C$5+4</f>
        <v>46219</v>
      </c>
      <c r="P171" s="15"/>
      <c r="Q171" s="12"/>
      <c r="R171" s="12"/>
    </row>
    <row r="172" spans="1:18">
      <c r="A172" s="13" t="s">
        <v>1799</v>
      </c>
      <c r="B172" s="13" t="s">
        <v>1759</v>
      </c>
      <c r="C172" s="13" t="s">
        <v>506</v>
      </c>
      <c r="D172" s="12" t="s">
        <v>1800</v>
      </c>
      <c r="E172" s="12" t="s">
        <v>1801</v>
      </c>
      <c r="F172" s="12" t="s">
        <v>1802</v>
      </c>
      <c r="G172" s="12" t="s">
        <v>1803</v>
      </c>
      <c r="H172" s="13" t="s">
        <v>52</v>
      </c>
      <c r="I172" s="13" t="s">
        <v>460</v>
      </c>
      <c r="J172" s="13" t="s">
        <v>1247</v>
      </c>
      <c r="K172" s="13" t="s">
        <v>1764</v>
      </c>
      <c r="L172" s="13" t="s">
        <v>1765</v>
      </c>
      <c r="M172" s="13" t="s">
        <v>28</v>
      </c>
      <c r="N172" s="13" t="s">
        <v>220</v>
      </c>
      <c r="O172" s="15">
        <f>总览!$C$5+4</f>
        <v>46219</v>
      </c>
      <c r="P172" s="15"/>
      <c r="Q172" s="12"/>
      <c r="R172" s="12"/>
    </row>
    <row r="173" spans="1:18">
      <c r="A173" s="13" t="s">
        <v>1804</v>
      </c>
      <c r="B173" s="13" t="s">
        <v>1759</v>
      </c>
      <c r="C173" s="13" t="s">
        <v>506</v>
      </c>
      <c r="D173" s="12" t="s">
        <v>1805</v>
      </c>
      <c r="E173" s="12" t="s">
        <v>1806</v>
      </c>
      <c r="F173" s="12" t="s">
        <v>1807</v>
      </c>
      <c r="G173" s="12" t="s">
        <v>1808</v>
      </c>
      <c r="H173" s="13" t="s">
        <v>76</v>
      </c>
      <c r="I173" s="13" t="s">
        <v>540</v>
      </c>
      <c r="J173" s="13" t="s">
        <v>1247</v>
      </c>
      <c r="K173" s="13" t="s">
        <v>1764</v>
      </c>
      <c r="L173" s="13" t="s">
        <v>1765</v>
      </c>
      <c r="M173" s="13" t="s">
        <v>28</v>
      </c>
      <c r="N173" s="13" t="s">
        <v>220</v>
      </c>
      <c r="O173" s="15">
        <f>总览!$C$5+4</f>
        <v>46219</v>
      </c>
      <c r="P173" s="15"/>
      <c r="Q173" s="12"/>
      <c r="R173" s="12"/>
    </row>
    <row r="174" spans="1:18">
      <c r="A174" s="13" t="s">
        <v>1809</v>
      </c>
      <c r="B174" s="13" t="s">
        <v>1810</v>
      </c>
      <c r="C174" s="13" t="s">
        <v>568</v>
      </c>
      <c r="D174" s="12" t="s">
        <v>1811</v>
      </c>
      <c r="E174" s="12" t="s">
        <v>1812</v>
      </c>
      <c r="F174" s="12" t="s">
        <v>1813</v>
      </c>
      <c r="G174" s="12" t="s">
        <v>1814</v>
      </c>
      <c r="H174" s="13" t="s">
        <v>52</v>
      </c>
      <c r="I174" s="13" t="s">
        <v>460</v>
      </c>
      <c r="J174" s="13" t="s">
        <v>1247</v>
      </c>
      <c r="K174" s="13" t="s">
        <v>1248</v>
      </c>
      <c r="L174" s="13" t="s">
        <v>1815</v>
      </c>
      <c r="M174" s="13" t="s">
        <v>28</v>
      </c>
      <c r="N174" s="13" t="s">
        <v>220</v>
      </c>
      <c r="O174" s="15">
        <f>总览!$C$5+4</f>
        <v>46219</v>
      </c>
      <c r="P174" s="15"/>
      <c r="Q174" s="12"/>
      <c r="R174" s="12"/>
    </row>
    <row r="175" spans="1:18">
      <c r="A175" s="13" t="s">
        <v>1816</v>
      </c>
      <c r="B175" s="13" t="s">
        <v>1810</v>
      </c>
      <c r="C175" s="13" t="s">
        <v>568</v>
      </c>
      <c r="D175" s="12" t="s">
        <v>1817</v>
      </c>
      <c r="E175" s="12" t="s">
        <v>1818</v>
      </c>
      <c r="F175" s="12" t="s">
        <v>1819</v>
      </c>
      <c r="G175" s="12" t="s">
        <v>1820</v>
      </c>
      <c r="H175" s="13" t="s">
        <v>52</v>
      </c>
      <c r="I175" s="13" t="s">
        <v>460</v>
      </c>
      <c r="J175" s="13" t="s">
        <v>1247</v>
      </c>
      <c r="K175" s="13" t="s">
        <v>1248</v>
      </c>
      <c r="L175" s="13" t="s">
        <v>1815</v>
      </c>
      <c r="M175" s="13" t="s">
        <v>28</v>
      </c>
      <c r="N175" s="13" t="s">
        <v>220</v>
      </c>
      <c r="O175" s="15">
        <f>总览!$C$5+4</f>
        <v>46219</v>
      </c>
      <c r="P175" s="15"/>
      <c r="Q175" s="12"/>
      <c r="R175" s="12"/>
    </row>
    <row r="176" spans="1:18">
      <c r="A176" s="13" t="s">
        <v>1821</v>
      </c>
      <c r="B176" s="13" t="s">
        <v>1810</v>
      </c>
      <c r="C176" s="13" t="s">
        <v>568</v>
      </c>
      <c r="D176" s="12" t="s">
        <v>1822</v>
      </c>
      <c r="E176" s="12" t="s">
        <v>1823</v>
      </c>
      <c r="F176" s="12" t="s">
        <v>1824</v>
      </c>
      <c r="G176" s="12" t="s">
        <v>1825</v>
      </c>
      <c r="H176" s="13" t="s">
        <v>52</v>
      </c>
      <c r="I176" s="13" t="s">
        <v>460</v>
      </c>
      <c r="J176" s="13" t="s">
        <v>1247</v>
      </c>
      <c r="K176" s="13" t="s">
        <v>1248</v>
      </c>
      <c r="L176" s="13" t="s">
        <v>1815</v>
      </c>
      <c r="M176" s="13" t="s">
        <v>28</v>
      </c>
      <c r="N176" s="13" t="s">
        <v>220</v>
      </c>
      <c r="O176" s="15">
        <f>总览!$C$5+4</f>
        <v>46219</v>
      </c>
      <c r="P176" s="15"/>
      <c r="Q176" s="12"/>
      <c r="R176" s="12"/>
    </row>
    <row r="177" spans="1:18">
      <c r="A177" s="13" t="s">
        <v>1826</v>
      </c>
      <c r="B177" s="13" t="s">
        <v>1810</v>
      </c>
      <c r="C177" s="13" t="s">
        <v>568</v>
      </c>
      <c r="D177" s="12" t="s">
        <v>1827</v>
      </c>
      <c r="E177" s="12" t="s">
        <v>1828</v>
      </c>
      <c r="F177" s="12" t="s">
        <v>601</v>
      </c>
      <c r="G177" s="12" t="s">
        <v>1829</v>
      </c>
      <c r="H177" s="13" t="s">
        <v>52</v>
      </c>
      <c r="I177" s="13" t="s">
        <v>460</v>
      </c>
      <c r="J177" s="13" t="s">
        <v>1247</v>
      </c>
      <c r="K177" s="13" t="s">
        <v>1248</v>
      </c>
      <c r="L177" s="13" t="s">
        <v>1815</v>
      </c>
      <c r="M177" s="13" t="s">
        <v>28</v>
      </c>
      <c r="N177" s="13" t="s">
        <v>220</v>
      </c>
      <c r="O177" s="15">
        <f>总览!$C$5+4</f>
        <v>46219</v>
      </c>
      <c r="P177" s="15"/>
      <c r="Q177" s="12"/>
      <c r="R177" s="12"/>
    </row>
    <row r="178" spans="1:18">
      <c r="A178" s="13" t="s">
        <v>1830</v>
      </c>
      <c r="B178" s="13" t="s">
        <v>1810</v>
      </c>
      <c r="C178" s="13" t="s">
        <v>568</v>
      </c>
      <c r="D178" s="12" t="s">
        <v>1831</v>
      </c>
      <c r="E178" s="12" t="s">
        <v>1832</v>
      </c>
      <c r="F178" s="12" t="s">
        <v>1833</v>
      </c>
      <c r="G178" s="12" t="s">
        <v>1834</v>
      </c>
      <c r="H178" s="13" t="s">
        <v>52</v>
      </c>
      <c r="I178" s="13" t="s">
        <v>460</v>
      </c>
      <c r="J178" s="13" t="s">
        <v>1247</v>
      </c>
      <c r="K178" s="13" t="s">
        <v>1248</v>
      </c>
      <c r="L178" s="13" t="s">
        <v>1815</v>
      </c>
      <c r="M178" s="13" t="s">
        <v>28</v>
      </c>
      <c r="N178" s="13" t="s">
        <v>220</v>
      </c>
      <c r="O178" s="15">
        <f>总览!$C$5+4</f>
        <v>46219</v>
      </c>
      <c r="P178" s="15"/>
      <c r="Q178" s="12"/>
      <c r="R178" s="12"/>
    </row>
    <row r="179" spans="1:18">
      <c r="A179" s="13" t="s">
        <v>1835</v>
      </c>
      <c r="B179" s="13" t="s">
        <v>1810</v>
      </c>
      <c r="C179" s="13" t="s">
        <v>568</v>
      </c>
      <c r="D179" s="12" t="s">
        <v>1836</v>
      </c>
      <c r="E179" s="12" t="s">
        <v>1292</v>
      </c>
      <c r="F179" s="12" t="s">
        <v>1837</v>
      </c>
      <c r="G179" s="12" t="s">
        <v>1838</v>
      </c>
      <c r="H179" s="13" t="s">
        <v>52</v>
      </c>
      <c r="I179" s="13" t="s">
        <v>460</v>
      </c>
      <c r="J179" s="13" t="s">
        <v>1247</v>
      </c>
      <c r="K179" s="13" t="s">
        <v>1248</v>
      </c>
      <c r="L179" s="13" t="s">
        <v>1815</v>
      </c>
      <c r="M179" s="13" t="s">
        <v>28</v>
      </c>
      <c r="N179" s="13" t="s">
        <v>220</v>
      </c>
      <c r="O179" s="15">
        <f>总览!$C$5+4</f>
        <v>46219</v>
      </c>
      <c r="P179" s="15"/>
      <c r="Q179" s="12"/>
      <c r="R179" s="12"/>
    </row>
    <row r="180" spans="1:18">
      <c r="A180" s="13" t="s">
        <v>1839</v>
      </c>
      <c r="B180" s="13" t="s">
        <v>1810</v>
      </c>
      <c r="C180" s="13" t="s">
        <v>568</v>
      </c>
      <c r="D180" s="12" t="s">
        <v>1840</v>
      </c>
      <c r="E180" s="12" t="s">
        <v>1841</v>
      </c>
      <c r="F180" s="12" t="s">
        <v>1842</v>
      </c>
      <c r="G180" s="12" t="s">
        <v>1843</v>
      </c>
      <c r="H180" s="13" t="s">
        <v>52</v>
      </c>
      <c r="I180" s="13" t="s">
        <v>460</v>
      </c>
      <c r="J180" s="13" t="s">
        <v>1247</v>
      </c>
      <c r="K180" s="13" t="s">
        <v>1248</v>
      </c>
      <c r="L180" s="13" t="s">
        <v>1815</v>
      </c>
      <c r="M180" s="13" t="s">
        <v>28</v>
      </c>
      <c r="N180" s="13" t="s">
        <v>220</v>
      </c>
      <c r="O180" s="15">
        <f>总览!$C$5+4</f>
        <v>46219</v>
      </c>
      <c r="P180" s="15"/>
      <c r="Q180" s="12"/>
      <c r="R180" s="12"/>
    </row>
    <row r="181" spans="1:18">
      <c r="A181" s="13" t="s">
        <v>1844</v>
      </c>
      <c r="B181" s="13" t="s">
        <v>1810</v>
      </c>
      <c r="C181" s="13" t="s">
        <v>568</v>
      </c>
      <c r="D181" s="12" t="s">
        <v>1845</v>
      </c>
      <c r="E181" s="12" t="s">
        <v>1846</v>
      </c>
      <c r="F181" s="12" t="s">
        <v>1842</v>
      </c>
      <c r="G181" s="12" t="s">
        <v>1847</v>
      </c>
      <c r="H181" s="13" t="s">
        <v>52</v>
      </c>
      <c r="I181" s="13" t="s">
        <v>460</v>
      </c>
      <c r="J181" s="13" t="s">
        <v>1247</v>
      </c>
      <c r="K181" s="13" t="s">
        <v>1248</v>
      </c>
      <c r="L181" s="13" t="s">
        <v>1815</v>
      </c>
      <c r="M181" s="13" t="s">
        <v>28</v>
      </c>
      <c r="N181" s="13" t="s">
        <v>220</v>
      </c>
      <c r="O181" s="15">
        <f>总览!$C$5+4</f>
        <v>46219</v>
      </c>
      <c r="P181" s="15"/>
      <c r="Q181" s="12"/>
      <c r="R181" s="12"/>
    </row>
    <row r="182" spans="1:18">
      <c r="A182" s="13" t="s">
        <v>1848</v>
      </c>
      <c r="B182" s="13" t="s">
        <v>1849</v>
      </c>
      <c r="C182" s="13" t="s">
        <v>1850</v>
      </c>
      <c r="D182" s="12" t="s">
        <v>1851</v>
      </c>
      <c r="E182" s="12" t="s">
        <v>1852</v>
      </c>
      <c r="F182" s="12" t="s">
        <v>1853</v>
      </c>
      <c r="G182" s="12" t="s">
        <v>1854</v>
      </c>
      <c r="H182" s="13" t="s">
        <v>52</v>
      </c>
      <c r="I182" s="13" t="s">
        <v>460</v>
      </c>
      <c r="J182" s="13" t="s">
        <v>1247</v>
      </c>
      <c r="K182" s="13" t="s">
        <v>1248</v>
      </c>
      <c r="L182" s="13" t="s">
        <v>1855</v>
      </c>
      <c r="M182" s="13" t="s">
        <v>28</v>
      </c>
      <c r="N182" s="13" t="s">
        <v>220</v>
      </c>
      <c r="O182" s="15">
        <f>总览!$C$5+4</f>
        <v>46219</v>
      </c>
      <c r="P182" s="15"/>
      <c r="Q182" s="12"/>
      <c r="R182" s="12"/>
    </row>
    <row r="183" spans="1:18">
      <c r="A183" s="13" t="s">
        <v>1856</v>
      </c>
      <c r="B183" s="13" t="s">
        <v>1849</v>
      </c>
      <c r="C183" s="13" t="s">
        <v>1850</v>
      </c>
      <c r="D183" s="12" t="s">
        <v>1857</v>
      </c>
      <c r="E183" s="12" t="s">
        <v>1858</v>
      </c>
      <c r="F183" s="12" t="s">
        <v>1853</v>
      </c>
      <c r="G183" s="12" t="s">
        <v>1859</v>
      </c>
      <c r="H183" s="13" t="s">
        <v>52</v>
      </c>
      <c r="I183" s="13" t="s">
        <v>460</v>
      </c>
      <c r="J183" s="13" t="s">
        <v>1247</v>
      </c>
      <c r="K183" s="13" t="s">
        <v>1248</v>
      </c>
      <c r="L183" s="13" t="s">
        <v>1855</v>
      </c>
      <c r="M183" s="13" t="s">
        <v>28</v>
      </c>
      <c r="N183" s="13" t="s">
        <v>220</v>
      </c>
      <c r="O183" s="15">
        <f>总览!$C$5+4</f>
        <v>46219</v>
      </c>
      <c r="P183" s="15"/>
      <c r="Q183" s="12"/>
      <c r="R183" s="12"/>
    </row>
    <row r="184" spans="1:18">
      <c r="A184" s="13" t="s">
        <v>1860</v>
      </c>
      <c r="B184" s="13" t="s">
        <v>1849</v>
      </c>
      <c r="C184" s="13" t="s">
        <v>1850</v>
      </c>
      <c r="D184" s="12" t="s">
        <v>1861</v>
      </c>
      <c r="E184" s="12" t="s">
        <v>1852</v>
      </c>
      <c r="F184" s="12" t="s">
        <v>1853</v>
      </c>
      <c r="G184" s="12" t="s">
        <v>1862</v>
      </c>
      <c r="H184" s="13" t="s">
        <v>52</v>
      </c>
      <c r="I184" s="13" t="s">
        <v>460</v>
      </c>
      <c r="J184" s="13" t="s">
        <v>1247</v>
      </c>
      <c r="K184" s="13" t="s">
        <v>1248</v>
      </c>
      <c r="L184" s="13" t="s">
        <v>1855</v>
      </c>
      <c r="M184" s="13" t="s">
        <v>28</v>
      </c>
      <c r="N184" s="13" t="s">
        <v>220</v>
      </c>
      <c r="O184" s="15">
        <f>总览!$C$5+4</f>
        <v>46219</v>
      </c>
      <c r="P184" s="15"/>
      <c r="Q184" s="12"/>
      <c r="R184" s="12"/>
    </row>
    <row r="185" spans="1:18">
      <c r="A185" s="13" t="s">
        <v>1863</v>
      </c>
      <c r="B185" s="13" t="s">
        <v>1849</v>
      </c>
      <c r="C185" s="13" t="s">
        <v>1850</v>
      </c>
      <c r="D185" s="12" t="s">
        <v>1864</v>
      </c>
      <c r="E185" s="12" t="s">
        <v>1865</v>
      </c>
      <c r="F185" s="12" t="s">
        <v>1866</v>
      </c>
      <c r="G185" s="12" t="s">
        <v>1867</v>
      </c>
      <c r="H185" s="13" t="s">
        <v>52</v>
      </c>
      <c r="I185" s="13" t="s">
        <v>460</v>
      </c>
      <c r="J185" s="13" t="s">
        <v>1247</v>
      </c>
      <c r="K185" s="13" t="s">
        <v>1248</v>
      </c>
      <c r="L185" s="13" t="s">
        <v>1855</v>
      </c>
      <c r="M185" s="13" t="s">
        <v>28</v>
      </c>
      <c r="N185" s="13" t="s">
        <v>220</v>
      </c>
      <c r="O185" s="15">
        <f>总览!$C$5+4</f>
        <v>46219</v>
      </c>
      <c r="P185" s="15"/>
      <c r="Q185" s="12"/>
      <c r="R185" s="12"/>
    </row>
    <row r="186" spans="1:18">
      <c r="A186" s="13" t="s">
        <v>1868</v>
      </c>
      <c r="B186" s="13" t="s">
        <v>1849</v>
      </c>
      <c r="C186" s="13" t="s">
        <v>1850</v>
      </c>
      <c r="D186" s="12" t="s">
        <v>1869</v>
      </c>
      <c r="E186" s="12" t="s">
        <v>1870</v>
      </c>
      <c r="F186" s="12" t="s">
        <v>1871</v>
      </c>
      <c r="G186" s="12" t="s">
        <v>1872</v>
      </c>
      <c r="H186" s="13" t="s">
        <v>52</v>
      </c>
      <c r="I186" s="13" t="s">
        <v>460</v>
      </c>
      <c r="J186" s="13" t="s">
        <v>1247</v>
      </c>
      <c r="K186" s="13" t="s">
        <v>1248</v>
      </c>
      <c r="L186" s="13" t="s">
        <v>1855</v>
      </c>
      <c r="M186" s="13" t="s">
        <v>28</v>
      </c>
      <c r="N186" s="13" t="s">
        <v>220</v>
      </c>
      <c r="O186" s="15">
        <f>总览!$C$5+4</f>
        <v>46219</v>
      </c>
      <c r="P186" s="15"/>
      <c r="Q186" s="12"/>
      <c r="R186" s="12"/>
    </row>
    <row r="187" spans="1:18">
      <c r="A187" s="13" t="s">
        <v>1873</v>
      </c>
      <c r="B187" s="13" t="s">
        <v>1849</v>
      </c>
      <c r="C187" s="13" t="s">
        <v>1850</v>
      </c>
      <c r="D187" s="12" t="s">
        <v>1874</v>
      </c>
      <c r="E187" s="12" t="s">
        <v>1875</v>
      </c>
      <c r="F187" s="12" t="s">
        <v>1853</v>
      </c>
      <c r="G187" s="12" t="s">
        <v>1876</v>
      </c>
      <c r="H187" s="13" t="s">
        <v>52</v>
      </c>
      <c r="I187" s="13" t="s">
        <v>460</v>
      </c>
      <c r="J187" s="13" t="s">
        <v>1247</v>
      </c>
      <c r="K187" s="13" t="s">
        <v>1248</v>
      </c>
      <c r="L187" s="13" t="s">
        <v>1855</v>
      </c>
      <c r="M187" s="13" t="s">
        <v>28</v>
      </c>
      <c r="N187" s="13" t="s">
        <v>220</v>
      </c>
      <c r="O187" s="15">
        <f>总览!$C$5+4</f>
        <v>46219</v>
      </c>
      <c r="P187" s="15"/>
      <c r="Q187" s="12"/>
      <c r="R187" s="12"/>
    </row>
    <row r="188" spans="1:18">
      <c r="A188" s="13" t="s">
        <v>1877</v>
      </c>
      <c r="B188" s="13" t="s">
        <v>1849</v>
      </c>
      <c r="C188" s="13" t="s">
        <v>1850</v>
      </c>
      <c r="D188" s="12" t="s">
        <v>1878</v>
      </c>
      <c r="E188" s="12" t="s">
        <v>1879</v>
      </c>
      <c r="F188" s="12" t="s">
        <v>1853</v>
      </c>
      <c r="G188" s="12" t="s">
        <v>1880</v>
      </c>
      <c r="H188" s="13" t="s">
        <v>52</v>
      </c>
      <c r="I188" s="13" t="s">
        <v>460</v>
      </c>
      <c r="J188" s="13" t="s">
        <v>1247</v>
      </c>
      <c r="K188" s="13" t="s">
        <v>1248</v>
      </c>
      <c r="L188" s="13" t="s">
        <v>1855</v>
      </c>
      <c r="M188" s="13" t="s">
        <v>28</v>
      </c>
      <c r="N188" s="13" t="s">
        <v>220</v>
      </c>
      <c r="O188" s="15">
        <f>总览!$C$5+4</f>
        <v>46219</v>
      </c>
      <c r="P188" s="15"/>
      <c r="Q188" s="12"/>
      <c r="R188" s="12"/>
    </row>
    <row r="189" spans="1:18">
      <c r="A189" s="13" t="s">
        <v>1881</v>
      </c>
      <c r="B189" s="13" t="s">
        <v>1849</v>
      </c>
      <c r="C189" s="13" t="s">
        <v>1850</v>
      </c>
      <c r="D189" s="12" t="s">
        <v>1882</v>
      </c>
      <c r="E189" s="12" t="s">
        <v>1883</v>
      </c>
      <c r="F189" s="12" t="s">
        <v>1853</v>
      </c>
      <c r="G189" s="12" t="s">
        <v>1884</v>
      </c>
      <c r="H189" s="13" t="s">
        <v>52</v>
      </c>
      <c r="I189" s="13" t="s">
        <v>460</v>
      </c>
      <c r="J189" s="13" t="s">
        <v>1247</v>
      </c>
      <c r="K189" s="13" t="s">
        <v>1248</v>
      </c>
      <c r="L189" s="13" t="s">
        <v>1855</v>
      </c>
      <c r="M189" s="13" t="s">
        <v>28</v>
      </c>
      <c r="N189" s="13" t="s">
        <v>220</v>
      </c>
      <c r="O189" s="15">
        <f>总览!$C$5+4</f>
        <v>46219</v>
      </c>
      <c r="P189" s="15"/>
      <c r="Q189" s="12"/>
      <c r="R189" s="12"/>
    </row>
    <row r="190" spans="1:18">
      <c r="A190" s="13" t="s">
        <v>1885</v>
      </c>
      <c r="B190" s="13" t="s">
        <v>1759</v>
      </c>
      <c r="C190" s="13" t="s">
        <v>1090</v>
      </c>
      <c r="D190" s="12" t="s">
        <v>1886</v>
      </c>
      <c r="E190" s="12" t="s">
        <v>1887</v>
      </c>
      <c r="F190" s="12" t="s">
        <v>1888</v>
      </c>
      <c r="G190" s="12" t="s">
        <v>1889</v>
      </c>
      <c r="H190" s="13" t="s">
        <v>52</v>
      </c>
      <c r="I190" s="13" t="s">
        <v>460</v>
      </c>
      <c r="J190" s="13" t="s">
        <v>1247</v>
      </c>
      <c r="K190" s="13" t="s">
        <v>1764</v>
      </c>
      <c r="L190" s="13" t="s">
        <v>1890</v>
      </c>
      <c r="M190" s="13" t="s">
        <v>1669</v>
      </c>
      <c r="N190" s="13" t="s">
        <v>461</v>
      </c>
      <c r="O190" s="15">
        <f>总览!$C$5+4</f>
        <v>46219</v>
      </c>
      <c r="P190" s="15"/>
      <c r="Q190" s="12"/>
      <c r="R190" s="12"/>
    </row>
    <row r="191" spans="1:18">
      <c r="A191" s="13" t="s">
        <v>1891</v>
      </c>
      <c r="B191" s="13" t="s">
        <v>1759</v>
      </c>
      <c r="C191" s="13" t="s">
        <v>1090</v>
      </c>
      <c r="D191" s="12" t="s">
        <v>1892</v>
      </c>
      <c r="E191" s="12" t="s">
        <v>1098</v>
      </c>
      <c r="F191" s="12" t="s">
        <v>1893</v>
      </c>
      <c r="G191" s="12" t="s">
        <v>1894</v>
      </c>
      <c r="H191" s="13" t="s">
        <v>52</v>
      </c>
      <c r="I191" s="13" t="s">
        <v>460</v>
      </c>
      <c r="J191" s="13" t="s">
        <v>1247</v>
      </c>
      <c r="K191" s="13" t="s">
        <v>1764</v>
      </c>
      <c r="L191" s="13" t="s">
        <v>1890</v>
      </c>
      <c r="M191" s="13" t="s">
        <v>1669</v>
      </c>
      <c r="N191" s="13" t="s">
        <v>461</v>
      </c>
      <c r="O191" s="15">
        <f>总览!$C$5+4</f>
        <v>46219</v>
      </c>
      <c r="P191" s="15"/>
      <c r="Q191" s="12"/>
      <c r="R191" s="12"/>
    </row>
    <row r="192" spans="1:18">
      <c r="A192" s="13" t="s">
        <v>1895</v>
      </c>
      <c r="B192" s="13" t="s">
        <v>1759</v>
      </c>
      <c r="C192" s="13" t="s">
        <v>1090</v>
      </c>
      <c r="D192" s="12" t="s">
        <v>1896</v>
      </c>
      <c r="E192" s="12" t="s">
        <v>1897</v>
      </c>
      <c r="F192" s="12" t="s">
        <v>1898</v>
      </c>
      <c r="G192" s="12" t="s">
        <v>1899</v>
      </c>
      <c r="H192" s="13" t="s">
        <v>52</v>
      </c>
      <c r="I192" s="13" t="s">
        <v>460</v>
      </c>
      <c r="J192" s="13" t="s">
        <v>1247</v>
      </c>
      <c r="K192" s="13" t="s">
        <v>1764</v>
      </c>
      <c r="L192" s="13" t="s">
        <v>1890</v>
      </c>
      <c r="M192" s="13" t="s">
        <v>1669</v>
      </c>
      <c r="N192" s="13" t="s">
        <v>461</v>
      </c>
      <c r="O192" s="15">
        <f>总览!$C$5+4</f>
        <v>46219</v>
      </c>
      <c r="P192" s="15"/>
      <c r="Q192" s="12"/>
      <c r="R192" s="12"/>
    </row>
    <row r="193" spans="1:18">
      <c r="A193" s="13" t="s">
        <v>1900</v>
      </c>
      <c r="B193" s="13" t="s">
        <v>1759</v>
      </c>
      <c r="C193" s="13" t="s">
        <v>1090</v>
      </c>
      <c r="D193" s="12" t="s">
        <v>1901</v>
      </c>
      <c r="E193" s="12" t="s">
        <v>1902</v>
      </c>
      <c r="F193" s="12" t="s">
        <v>1903</v>
      </c>
      <c r="G193" s="12" t="s">
        <v>1904</v>
      </c>
      <c r="H193" s="13" t="s">
        <v>52</v>
      </c>
      <c r="I193" s="13" t="s">
        <v>460</v>
      </c>
      <c r="J193" s="13" t="s">
        <v>1247</v>
      </c>
      <c r="K193" s="13" t="s">
        <v>1764</v>
      </c>
      <c r="L193" s="13" t="s">
        <v>1890</v>
      </c>
      <c r="M193" s="13" t="s">
        <v>1669</v>
      </c>
      <c r="N193" s="13" t="s">
        <v>461</v>
      </c>
      <c r="O193" s="15">
        <f>总览!$C$5+4</f>
        <v>46219</v>
      </c>
      <c r="P193" s="15"/>
      <c r="Q193" s="12"/>
      <c r="R193" s="12"/>
    </row>
    <row r="194" spans="1:18">
      <c r="A194" s="13" t="s">
        <v>1905</v>
      </c>
      <c r="B194" s="13" t="s">
        <v>1759</v>
      </c>
      <c r="C194" s="13" t="s">
        <v>1090</v>
      </c>
      <c r="D194" s="12" t="s">
        <v>1906</v>
      </c>
      <c r="E194" s="12" t="s">
        <v>1907</v>
      </c>
      <c r="F194" s="12" t="s">
        <v>1908</v>
      </c>
      <c r="G194" s="12" t="s">
        <v>1909</v>
      </c>
      <c r="H194" s="13" t="s">
        <v>52</v>
      </c>
      <c r="I194" s="13" t="s">
        <v>460</v>
      </c>
      <c r="J194" s="13" t="s">
        <v>1247</v>
      </c>
      <c r="K194" s="13" t="s">
        <v>1764</v>
      </c>
      <c r="L194" s="13" t="s">
        <v>1890</v>
      </c>
      <c r="M194" s="13" t="s">
        <v>1669</v>
      </c>
      <c r="N194" s="13" t="s">
        <v>461</v>
      </c>
      <c r="O194" s="15">
        <f>总览!$C$5+4</f>
        <v>46219</v>
      </c>
      <c r="P194" s="15"/>
      <c r="Q194" s="12"/>
      <c r="R194" s="12"/>
    </row>
    <row r="195" spans="1:18">
      <c r="A195" s="13" t="s">
        <v>1910</v>
      </c>
      <c r="B195" s="13" t="s">
        <v>1759</v>
      </c>
      <c r="C195" s="13" t="s">
        <v>1090</v>
      </c>
      <c r="D195" s="12" t="s">
        <v>1911</v>
      </c>
      <c r="E195" s="12" t="s">
        <v>1912</v>
      </c>
      <c r="F195" s="12" t="s">
        <v>1913</v>
      </c>
      <c r="G195" s="12" t="s">
        <v>1914</v>
      </c>
      <c r="H195" s="13" t="s">
        <v>52</v>
      </c>
      <c r="I195" s="13" t="s">
        <v>460</v>
      </c>
      <c r="J195" s="13" t="s">
        <v>1247</v>
      </c>
      <c r="K195" s="13" t="s">
        <v>1764</v>
      </c>
      <c r="L195" s="13" t="s">
        <v>1890</v>
      </c>
      <c r="M195" s="13" t="s">
        <v>1669</v>
      </c>
      <c r="N195" s="13" t="s">
        <v>461</v>
      </c>
      <c r="O195" s="15">
        <f>总览!$C$5+4</f>
        <v>46219</v>
      </c>
      <c r="P195" s="15"/>
      <c r="Q195" s="12"/>
      <c r="R195" s="12"/>
    </row>
    <row r="196" spans="1:18">
      <c r="A196" s="13" t="s">
        <v>1915</v>
      </c>
      <c r="B196" s="13" t="s">
        <v>1759</v>
      </c>
      <c r="C196" s="13" t="s">
        <v>1090</v>
      </c>
      <c r="D196" s="12" t="s">
        <v>1916</v>
      </c>
      <c r="E196" s="12" t="s">
        <v>1917</v>
      </c>
      <c r="F196" s="12" t="s">
        <v>1918</v>
      </c>
      <c r="G196" s="12" t="s">
        <v>1919</v>
      </c>
      <c r="H196" s="13" t="s">
        <v>52</v>
      </c>
      <c r="I196" s="13" t="s">
        <v>460</v>
      </c>
      <c r="J196" s="13" t="s">
        <v>1247</v>
      </c>
      <c r="K196" s="13" t="s">
        <v>1764</v>
      </c>
      <c r="L196" s="13" t="s">
        <v>1890</v>
      </c>
      <c r="M196" s="13" t="s">
        <v>1669</v>
      </c>
      <c r="N196" s="13" t="s">
        <v>461</v>
      </c>
      <c r="O196" s="15">
        <f>总览!$C$5+4</f>
        <v>46219</v>
      </c>
      <c r="P196" s="15"/>
      <c r="Q196" s="12"/>
      <c r="R196" s="12"/>
    </row>
    <row r="197" spans="1:18">
      <c r="A197" s="13" t="s">
        <v>1920</v>
      </c>
      <c r="B197" s="13" t="s">
        <v>1759</v>
      </c>
      <c r="C197" s="13" t="s">
        <v>1090</v>
      </c>
      <c r="D197" s="12" t="s">
        <v>1921</v>
      </c>
      <c r="E197" s="12" t="s">
        <v>1922</v>
      </c>
      <c r="F197" s="12" t="s">
        <v>1923</v>
      </c>
      <c r="G197" s="12" t="s">
        <v>1924</v>
      </c>
      <c r="H197" s="13" t="s">
        <v>52</v>
      </c>
      <c r="I197" s="13" t="s">
        <v>460</v>
      </c>
      <c r="J197" s="13" t="s">
        <v>1247</v>
      </c>
      <c r="K197" s="13" t="s">
        <v>1764</v>
      </c>
      <c r="L197" s="13" t="s">
        <v>1890</v>
      </c>
      <c r="M197" s="13" t="s">
        <v>1669</v>
      </c>
      <c r="N197" s="13" t="s">
        <v>461</v>
      </c>
      <c r="O197" s="15">
        <f>总览!$C$5+4</f>
        <v>46219</v>
      </c>
      <c r="P197" s="15"/>
      <c r="Q197" s="12"/>
      <c r="R197" s="12"/>
    </row>
    <row r="198" spans="1:18">
      <c r="A198" s="13" t="s">
        <v>1925</v>
      </c>
      <c r="B198" s="13" t="s">
        <v>1759</v>
      </c>
      <c r="C198" s="13" t="s">
        <v>1090</v>
      </c>
      <c r="D198" s="12" t="s">
        <v>1926</v>
      </c>
      <c r="E198" s="12" t="s">
        <v>1927</v>
      </c>
      <c r="F198" s="12" t="s">
        <v>1928</v>
      </c>
      <c r="G198" s="12" t="s">
        <v>1929</v>
      </c>
      <c r="H198" s="13" t="s">
        <v>52</v>
      </c>
      <c r="I198" s="13" t="s">
        <v>460</v>
      </c>
      <c r="J198" s="13" t="s">
        <v>1247</v>
      </c>
      <c r="K198" s="13" t="s">
        <v>1764</v>
      </c>
      <c r="L198" s="13" t="s">
        <v>1890</v>
      </c>
      <c r="M198" s="13" t="s">
        <v>1669</v>
      </c>
      <c r="N198" s="13" t="s">
        <v>461</v>
      </c>
      <c r="O198" s="15">
        <f>总览!$C$5+4</f>
        <v>46219</v>
      </c>
      <c r="P198" s="15"/>
      <c r="Q198" s="12"/>
      <c r="R198" s="12"/>
    </row>
    <row r="199" spans="1:18">
      <c r="A199" s="13" t="s">
        <v>1930</v>
      </c>
      <c r="B199" s="13" t="s">
        <v>1759</v>
      </c>
      <c r="C199" s="13" t="s">
        <v>1090</v>
      </c>
      <c r="D199" s="12" t="s">
        <v>1931</v>
      </c>
      <c r="E199" s="12" t="s">
        <v>1932</v>
      </c>
      <c r="F199" s="12" t="s">
        <v>1933</v>
      </c>
      <c r="G199" s="12" t="s">
        <v>1934</v>
      </c>
      <c r="H199" s="13" t="s">
        <v>52</v>
      </c>
      <c r="I199" s="13" t="s">
        <v>460</v>
      </c>
      <c r="J199" s="13" t="s">
        <v>1247</v>
      </c>
      <c r="K199" s="13" t="s">
        <v>1764</v>
      </c>
      <c r="L199" s="13" t="s">
        <v>1890</v>
      </c>
      <c r="M199" s="13" t="s">
        <v>1669</v>
      </c>
      <c r="N199" s="13" t="s">
        <v>461</v>
      </c>
      <c r="O199" s="15">
        <f>总览!$C$5+4</f>
        <v>46219</v>
      </c>
      <c r="P199" s="15"/>
      <c r="Q199" s="12"/>
      <c r="R199" s="12"/>
    </row>
    <row r="200" spans="1:18">
      <c r="A200" s="13" t="s">
        <v>1935</v>
      </c>
      <c r="B200" s="13" t="s">
        <v>1936</v>
      </c>
      <c r="C200" s="13" t="s">
        <v>33</v>
      </c>
      <c r="D200" s="12" t="s">
        <v>1937</v>
      </c>
      <c r="E200" s="12" t="s">
        <v>1938</v>
      </c>
      <c r="F200" s="12" t="s">
        <v>1939</v>
      </c>
      <c r="G200" s="12" t="s">
        <v>1940</v>
      </c>
      <c r="H200" s="13" t="s">
        <v>52</v>
      </c>
      <c r="I200" s="13" t="s">
        <v>460</v>
      </c>
      <c r="J200" s="13" t="s">
        <v>1247</v>
      </c>
      <c r="K200" s="13" t="s">
        <v>1764</v>
      </c>
      <c r="L200" s="13" t="s">
        <v>1941</v>
      </c>
      <c r="M200" s="13" t="s">
        <v>30</v>
      </c>
      <c r="N200" s="13" t="s">
        <v>461</v>
      </c>
      <c r="O200" s="15">
        <f>总览!$C$5+5</f>
        <v>46220</v>
      </c>
      <c r="P200" s="15"/>
      <c r="Q200" s="12"/>
      <c r="R200" s="12"/>
    </row>
    <row r="201" spans="1:18">
      <c r="A201" s="13" t="s">
        <v>1942</v>
      </c>
      <c r="B201" s="13" t="s">
        <v>1936</v>
      </c>
      <c r="C201" s="13" t="s">
        <v>33</v>
      </c>
      <c r="D201" s="12" t="s">
        <v>1943</v>
      </c>
      <c r="E201" s="12" t="s">
        <v>1944</v>
      </c>
      <c r="F201" s="12" t="s">
        <v>1945</v>
      </c>
      <c r="G201" s="12" t="s">
        <v>1946</v>
      </c>
      <c r="H201" s="13" t="s">
        <v>52</v>
      </c>
      <c r="I201" s="13" t="s">
        <v>460</v>
      </c>
      <c r="J201" s="13" t="s">
        <v>1247</v>
      </c>
      <c r="K201" s="13" t="s">
        <v>1764</v>
      </c>
      <c r="L201" s="13" t="s">
        <v>1941</v>
      </c>
      <c r="M201" s="13" t="s">
        <v>30</v>
      </c>
      <c r="N201" s="13" t="s">
        <v>461</v>
      </c>
      <c r="O201" s="15">
        <f>总览!$C$5+5</f>
        <v>46220</v>
      </c>
      <c r="P201" s="15"/>
      <c r="Q201" s="12"/>
      <c r="R201" s="12"/>
    </row>
    <row r="202" spans="1:18">
      <c r="A202" s="13" t="s">
        <v>1947</v>
      </c>
      <c r="B202" s="13" t="s">
        <v>1936</v>
      </c>
      <c r="C202" s="13" t="s">
        <v>33</v>
      </c>
      <c r="D202" s="12" t="s">
        <v>1948</v>
      </c>
      <c r="E202" s="12" t="s">
        <v>1949</v>
      </c>
      <c r="F202" s="12" t="s">
        <v>1950</v>
      </c>
      <c r="G202" s="12" t="s">
        <v>1951</v>
      </c>
      <c r="H202" s="13" t="s">
        <v>52</v>
      </c>
      <c r="I202" s="13" t="s">
        <v>460</v>
      </c>
      <c r="J202" s="13" t="s">
        <v>1247</v>
      </c>
      <c r="K202" s="13" t="s">
        <v>1764</v>
      </c>
      <c r="L202" s="13" t="s">
        <v>1941</v>
      </c>
      <c r="M202" s="13" t="s">
        <v>30</v>
      </c>
      <c r="N202" s="13" t="s">
        <v>461</v>
      </c>
      <c r="O202" s="15">
        <f>总览!$C$5+5</f>
        <v>46220</v>
      </c>
      <c r="P202" s="15"/>
      <c r="Q202" s="12"/>
      <c r="R202" s="12"/>
    </row>
    <row r="203" spans="1:18">
      <c r="A203" s="13" t="s">
        <v>1952</v>
      </c>
      <c r="B203" s="13" t="s">
        <v>1936</v>
      </c>
      <c r="C203" s="13" t="s">
        <v>33</v>
      </c>
      <c r="D203" s="12" t="s">
        <v>1953</v>
      </c>
      <c r="E203" s="12" t="s">
        <v>1954</v>
      </c>
      <c r="F203" s="12" t="s">
        <v>1955</v>
      </c>
      <c r="G203" s="12" t="s">
        <v>1956</v>
      </c>
      <c r="H203" s="13" t="s">
        <v>52</v>
      </c>
      <c r="I203" s="13" t="s">
        <v>460</v>
      </c>
      <c r="J203" s="13" t="s">
        <v>1247</v>
      </c>
      <c r="K203" s="13" t="s">
        <v>1764</v>
      </c>
      <c r="L203" s="13" t="s">
        <v>1941</v>
      </c>
      <c r="M203" s="13" t="s">
        <v>30</v>
      </c>
      <c r="N203" s="13" t="s">
        <v>461</v>
      </c>
      <c r="O203" s="15">
        <f>总览!$C$5+5</f>
        <v>46220</v>
      </c>
      <c r="P203" s="15"/>
      <c r="Q203" s="12"/>
      <c r="R203" s="12"/>
    </row>
    <row r="204" spans="1:18">
      <c r="A204" s="13" t="s">
        <v>1957</v>
      </c>
      <c r="B204" s="13" t="s">
        <v>1936</v>
      </c>
      <c r="C204" s="13" t="s">
        <v>33</v>
      </c>
      <c r="D204" s="12" t="s">
        <v>1958</v>
      </c>
      <c r="E204" s="12" t="s">
        <v>1959</v>
      </c>
      <c r="F204" s="12" t="s">
        <v>1960</v>
      </c>
      <c r="G204" s="12" t="s">
        <v>1961</v>
      </c>
      <c r="H204" s="13" t="s">
        <v>52</v>
      </c>
      <c r="I204" s="13" t="s">
        <v>460</v>
      </c>
      <c r="J204" s="13" t="s">
        <v>1247</v>
      </c>
      <c r="K204" s="13" t="s">
        <v>1764</v>
      </c>
      <c r="L204" s="13" t="s">
        <v>1941</v>
      </c>
      <c r="M204" s="13" t="s">
        <v>30</v>
      </c>
      <c r="N204" s="13" t="s">
        <v>461</v>
      </c>
      <c r="O204" s="15">
        <f>总览!$C$5+5</f>
        <v>46220</v>
      </c>
      <c r="P204" s="15"/>
      <c r="Q204" s="12"/>
      <c r="R204" s="12"/>
    </row>
    <row r="205" spans="1:18">
      <c r="A205" s="13" t="s">
        <v>1962</v>
      </c>
      <c r="B205" s="13" t="s">
        <v>1936</v>
      </c>
      <c r="C205" s="13" t="s">
        <v>33</v>
      </c>
      <c r="D205" s="12" t="s">
        <v>1963</v>
      </c>
      <c r="E205" s="12" t="s">
        <v>1964</v>
      </c>
      <c r="F205" s="12" t="s">
        <v>1965</v>
      </c>
      <c r="G205" s="12" t="s">
        <v>1966</v>
      </c>
      <c r="H205" s="13" t="s">
        <v>52</v>
      </c>
      <c r="I205" s="13" t="s">
        <v>460</v>
      </c>
      <c r="J205" s="13" t="s">
        <v>1247</v>
      </c>
      <c r="K205" s="13" t="s">
        <v>1764</v>
      </c>
      <c r="L205" s="13" t="s">
        <v>1941</v>
      </c>
      <c r="M205" s="13" t="s">
        <v>30</v>
      </c>
      <c r="N205" s="13" t="s">
        <v>461</v>
      </c>
      <c r="O205" s="15">
        <f>总览!$C$5+5</f>
        <v>46220</v>
      </c>
      <c r="P205" s="15"/>
      <c r="Q205" s="12"/>
      <c r="R205" s="12"/>
    </row>
    <row r="206" spans="1:18">
      <c r="A206" s="13" t="s">
        <v>1967</v>
      </c>
      <c r="B206" s="13" t="s">
        <v>1936</v>
      </c>
      <c r="C206" s="13" t="s">
        <v>33</v>
      </c>
      <c r="D206" s="12" t="s">
        <v>690</v>
      </c>
      <c r="E206" s="12" t="s">
        <v>1968</v>
      </c>
      <c r="F206" s="12" t="s">
        <v>1969</v>
      </c>
      <c r="G206" s="12" t="s">
        <v>1970</v>
      </c>
      <c r="H206" s="13" t="s">
        <v>52</v>
      </c>
      <c r="I206" s="13" t="s">
        <v>460</v>
      </c>
      <c r="J206" s="13" t="s">
        <v>1247</v>
      </c>
      <c r="K206" s="13" t="s">
        <v>1764</v>
      </c>
      <c r="L206" s="13" t="s">
        <v>1941</v>
      </c>
      <c r="M206" s="13" t="s">
        <v>30</v>
      </c>
      <c r="N206" s="13" t="s">
        <v>461</v>
      </c>
      <c r="O206" s="15">
        <f>总览!$C$5+5</f>
        <v>46220</v>
      </c>
      <c r="P206" s="15"/>
      <c r="Q206" s="12"/>
      <c r="R206" s="12"/>
    </row>
    <row r="207" spans="1:18">
      <c r="A207" s="13" t="s">
        <v>1971</v>
      </c>
      <c r="B207" s="13" t="s">
        <v>1936</v>
      </c>
      <c r="C207" s="13" t="s">
        <v>33</v>
      </c>
      <c r="D207" s="12" t="s">
        <v>1972</v>
      </c>
      <c r="E207" s="12" t="s">
        <v>1973</v>
      </c>
      <c r="F207" s="12" t="s">
        <v>1974</v>
      </c>
      <c r="G207" s="12" t="s">
        <v>1975</v>
      </c>
      <c r="H207" s="13" t="s">
        <v>52</v>
      </c>
      <c r="I207" s="13" t="s">
        <v>460</v>
      </c>
      <c r="J207" s="13" t="s">
        <v>1247</v>
      </c>
      <c r="K207" s="13" t="s">
        <v>1764</v>
      </c>
      <c r="L207" s="13" t="s">
        <v>1941</v>
      </c>
      <c r="M207" s="13" t="s">
        <v>30</v>
      </c>
      <c r="N207" s="13" t="s">
        <v>461</v>
      </c>
      <c r="O207" s="15">
        <f>总览!$C$5+5</f>
        <v>46220</v>
      </c>
      <c r="P207" s="15"/>
      <c r="Q207" s="12"/>
      <c r="R207" s="12"/>
    </row>
    <row r="208" spans="1:18" ht="23.25">
      <c r="A208" s="13" t="s">
        <v>1976</v>
      </c>
      <c r="B208" s="13" t="s">
        <v>1936</v>
      </c>
      <c r="C208" s="13" t="s">
        <v>33</v>
      </c>
      <c r="D208" s="12" t="s">
        <v>1977</v>
      </c>
      <c r="E208" s="12" t="s">
        <v>1978</v>
      </c>
      <c r="F208" s="12" t="s">
        <v>1979</v>
      </c>
      <c r="G208" s="12" t="s">
        <v>1980</v>
      </c>
      <c r="H208" s="13" t="s">
        <v>52</v>
      </c>
      <c r="I208" s="13" t="s">
        <v>460</v>
      </c>
      <c r="J208" s="13" t="s">
        <v>1247</v>
      </c>
      <c r="K208" s="13" t="s">
        <v>1764</v>
      </c>
      <c r="L208" s="13" t="s">
        <v>1941</v>
      </c>
      <c r="M208" s="13" t="s">
        <v>30</v>
      </c>
      <c r="N208" s="13" t="s">
        <v>461</v>
      </c>
      <c r="O208" s="15">
        <f>总览!$C$5+5</f>
        <v>46220</v>
      </c>
      <c r="P208" s="15"/>
      <c r="Q208" s="12"/>
      <c r="R208" s="12"/>
    </row>
    <row r="209" spans="1:18">
      <c r="A209" s="13" t="s">
        <v>1981</v>
      </c>
      <c r="B209" s="13" t="s">
        <v>1936</v>
      </c>
      <c r="C209" s="13" t="s">
        <v>33</v>
      </c>
      <c r="D209" s="12" t="s">
        <v>1982</v>
      </c>
      <c r="E209" s="12" t="s">
        <v>1983</v>
      </c>
      <c r="F209" s="12" t="s">
        <v>1984</v>
      </c>
      <c r="G209" s="12" t="s">
        <v>1985</v>
      </c>
      <c r="H209" s="13" t="s">
        <v>52</v>
      </c>
      <c r="I209" s="13" t="s">
        <v>460</v>
      </c>
      <c r="J209" s="13" t="s">
        <v>1247</v>
      </c>
      <c r="K209" s="13" t="s">
        <v>1764</v>
      </c>
      <c r="L209" s="13" t="s">
        <v>1941</v>
      </c>
      <c r="M209" s="13" t="s">
        <v>30</v>
      </c>
      <c r="N209" s="13" t="s">
        <v>461</v>
      </c>
      <c r="O209" s="15">
        <f>总览!$C$5+5</f>
        <v>46220</v>
      </c>
      <c r="P209" s="15"/>
      <c r="Q209" s="12"/>
      <c r="R209" s="12"/>
    </row>
    <row r="210" spans="1:18">
      <c r="A210" s="13" t="s">
        <v>1986</v>
      </c>
      <c r="B210" s="13" t="s">
        <v>1936</v>
      </c>
      <c r="C210" s="13" t="s">
        <v>33</v>
      </c>
      <c r="D210" s="12" t="s">
        <v>1987</v>
      </c>
      <c r="E210" s="12" t="s">
        <v>1988</v>
      </c>
      <c r="F210" s="12" t="s">
        <v>1989</v>
      </c>
      <c r="G210" s="12" t="s">
        <v>1990</v>
      </c>
      <c r="H210" s="13" t="s">
        <v>52</v>
      </c>
      <c r="I210" s="13" t="s">
        <v>460</v>
      </c>
      <c r="J210" s="13" t="s">
        <v>1247</v>
      </c>
      <c r="K210" s="13" t="s">
        <v>1764</v>
      </c>
      <c r="L210" s="13" t="s">
        <v>1941</v>
      </c>
      <c r="M210" s="13" t="s">
        <v>30</v>
      </c>
      <c r="N210" s="13" t="s">
        <v>461</v>
      </c>
      <c r="O210" s="15">
        <f>总览!$C$5+5</f>
        <v>46220</v>
      </c>
      <c r="P210" s="15"/>
      <c r="Q210" s="12"/>
      <c r="R210" s="12"/>
    </row>
    <row r="211" spans="1:18">
      <c r="A211" s="13" t="s">
        <v>1991</v>
      </c>
      <c r="B211" s="13" t="s">
        <v>1936</v>
      </c>
      <c r="C211" s="13" t="s">
        <v>33</v>
      </c>
      <c r="D211" s="12" t="s">
        <v>1992</v>
      </c>
      <c r="E211" s="12" t="s">
        <v>1993</v>
      </c>
      <c r="F211" s="12" t="s">
        <v>1994</v>
      </c>
      <c r="G211" s="12" t="s">
        <v>1995</v>
      </c>
      <c r="H211" s="13" t="s">
        <v>52</v>
      </c>
      <c r="I211" s="13" t="s">
        <v>460</v>
      </c>
      <c r="J211" s="13" t="s">
        <v>1247</v>
      </c>
      <c r="K211" s="13" t="s">
        <v>1764</v>
      </c>
      <c r="L211" s="13" t="s">
        <v>1941</v>
      </c>
      <c r="M211" s="13" t="s">
        <v>30</v>
      </c>
      <c r="N211" s="13" t="s">
        <v>461</v>
      </c>
      <c r="O211" s="15">
        <f>总览!$C$5+5</f>
        <v>46220</v>
      </c>
      <c r="P211" s="15"/>
      <c r="Q211" s="12"/>
      <c r="R211" s="12"/>
    </row>
  </sheetData>
  <mergeCells count="2">
    <mergeCell ref="A1:R1"/>
    <mergeCell ref="A3:R3"/>
  </mergeCells>
  <phoneticPr fontId="22" type="noConversion"/>
  <conditionalFormatting sqref="H5:H211">
    <cfRule type="expression" dxfId="30" priority="1">
      <formula>H5="P0"</formula>
    </cfRule>
    <cfRule type="expression" dxfId="29" priority="2">
      <formula>H5="P1"</formula>
    </cfRule>
    <cfRule type="expression" dxfId="28" priority="3">
      <formula>H5="P2"</formula>
    </cfRule>
  </conditionalFormatting>
  <conditionalFormatting sqref="J5:J211">
    <cfRule type="expression" dxfId="27" priority="4">
      <formula>J5="通过"</formula>
    </cfRule>
    <cfRule type="expression" dxfId="26" priority="5">
      <formula>J5="执行中"</formula>
    </cfRule>
    <cfRule type="expression" dxfId="25" priority="6">
      <formula>J5="失败"</formula>
    </cfRule>
    <cfRule type="expression" dxfId="24" priority="7">
      <formula>J5="已阻塞"</formula>
    </cfRule>
    <cfRule type="expression" dxfId="23" priority="8">
      <formula>J5="未执行"</formula>
    </cfRule>
  </conditionalFormatting>
  <dataValidations count="4">
    <dataValidation type="list" sqref="H5:H211" xr:uid="{00000000-0002-0000-0500-000000000000}">
      <formula1>"P0,P1,P2"</formula1>
    </dataValidation>
    <dataValidation type="list" sqref="I5:I211" xr:uid="{00000000-0002-0000-0500-000001000000}">
      <formula1>"是,否"</formula1>
    </dataValidation>
    <dataValidation type="list" sqref="J5:J211" xr:uid="{00000000-0002-0000-0500-000002000000}">
      <formula1>"未执行,执行中,通过,失败,已阻塞,不适用"</formula1>
    </dataValidation>
    <dataValidation type="list" sqref="K5:K211" xr:uid="{00000000-0002-0000-0500-000003000000}">
      <formula1>"自动,半自动,手工"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9"/>
  <sheetViews>
    <sheetView workbookViewId="0"/>
  </sheetViews>
  <sheetFormatPr defaultRowHeight="13.5"/>
  <cols>
    <col min="1" max="1" width="12" customWidth="1"/>
    <col min="2" max="2" width="14" customWidth="1"/>
    <col min="3" max="3" width="22" customWidth="1"/>
    <col min="4" max="4" width="24" customWidth="1"/>
    <col min="5" max="5" width="22" customWidth="1"/>
    <col min="6" max="6" width="18" customWidth="1"/>
    <col min="7" max="7" width="38" customWidth="1"/>
    <col min="8" max="9" width="11" customWidth="1"/>
    <col min="10" max="10" width="24" customWidth="1"/>
    <col min="11" max="11" width="10" customWidth="1"/>
    <col min="12" max="12" width="12" customWidth="1"/>
    <col min="13" max="14" width="10" customWidth="1"/>
    <col min="15" max="16" width="12" customWidth="1"/>
    <col min="17" max="17" width="11" customWidth="1"/>
    <col min="18" max="18" width="12" customWidth="1"/>
    <col min="19" max="19" width="28" customWidth="1"/>
    <col min="20" max="20" width="26" customWidth="1"/>
  </cols>
  <sheetData>
    <row r="1" spans="1:20" ht="8.5500000000000007" customHeight="1">
      <c r="A1" s="44" t="s">
        <v>1996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3" spans="1:20" ht="7.05" customHeight="1">
      <c r="A3" s="45" t="s">
        <v>1997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7.5" customHeight="1">
      <c r="A4" s="22" t="s">
        <v>1998</v>
      </c>
      <c r="B4" s="22" t="s">
        <v>1999</v>
      </c>
      <c r="C4" s="22" t="s">
        <v>2000</v>
      </c>
      <c r="D4" s="22" t="s">
        <v>2001</v>
      </c>
      <c r="E4" s="22" t="s">
        <v>2002</v>
      </c>
      <c r="F4" s="22" t="s">
        <v>2003</v>
      </c>
      <c r="G4" s="22" t="s">
        <v>2004</v>
      </c>
      <c r="H4" s="22" t="s">
        <v>41</v>
      </c>
      <c r="I4" s="22" t="s">
        <v>2005</v>
      </c>
      <c r="J4" s="22" t="s">
        <v>2006</v>
      </c>
      <c r="K4" s="22" t="s">
        <v>2007</v>
      </c>
      <c r="L4" s="22" t="s">
        <v>2008</v>
      </c>
      <c r="M4" s="22" t="s">
        <v>2009</v>
      </c>
      <c r="N4" s="22" t="s">
        <v>2010</v>
      </c>
      <c r="O4" s="22" t="s">
        <v>2011</v>
      </c>
      <c r="P4" s="22" t="s">
        <v>2012</v>
      </c>
      <c r="Q4" s="22" t="s">
        <v>2013</v>
      </c>
      <c r="R4" s="22" t="s">
        <v>2014</v>
      </c>
      <c r="S4" s="22" t="s">
        <v>2015</v>
      </c>
      <c r="T4" s="22" t="s">
        <v>2016</v>
      </c>
    </row>
    <row r="5" spans="1:20">
      <c r="A5" s="13" t="s">
        <v>2017</v>
      </c>
      <c r="B5" s="13" t="s">
        <v>2018</v>
      </c>
      <c r="C5" s="12" t="s">
        <v>2019</v>
      </c>
      <c r="D5" s="12" t="s">
        <v>2020</v>
      </c>
      <c r="E5" s="12" t="s">
        <v>2021</v>
      </c>
      <c r="F5" s="12" t="s">
        <v>976</v>
      </c>
      <c r="G5" s="12" t="s">
        <v>2022</v>
      </c>
      <c r="H5" s="13" t="s">
        <v>1247</v>
      </c>
      <c r="I5" s="13" t="s">
        <v>1247</v>
      </c>
      <c r="J5" s="13"/>
      <c r="K5" s="13"/>
      <c r="L5" s="13"/>
      <c r="M5" s="13"/>
      <c r="N5" s="13"/>
      <c r="O5" s="13"/>
      <c r="P5" s="23"/>
      <c r="Q5" s="13"/>
      <c r="R5" s="13"/>
      <c r="S5" s="12"/>
      <c r="T5" s="12"/>
    </row>
    <row r="6" spans="1:20">
      <c r="A6" s="13" t="s">
        <v>2023</v>
      </c>
      <c r="B6" s="13" t="s">
        <v>2018</v>
      </c>
      <c r="C6" s="12" t="s">
        <v>2024</v>
      </c>
      <c r="D6" s="12" t="s">
        <v>2025</v>
      </c>
      <c r="E6" s="12" t="s">
        <v>2021</v>
      </c>
      <c r="F6" s="12" t="s">
        <v>976</v>
      </c>
      <c r="G6" s="12" t="s">
        <v>2026</v>
      </c>
      <c r="H6" s="13" t="s">
        <v>1247</v>
      </c>
      <c r="I6" s="13" t="s">
        <v>1247</v>
      </c>
      <c r="J6" s="13"/>
      <c r="K6" s="13"/>
      <c r="L6" s="13"/>
      <c r="M6" s="13"/>
      <c r="N6" s="13"/>
      <c r="O6" s="13"/>
      <c r="P6" s="23"/>
      <c r="Q6" s="13"/>
      <c r="R6" s="13"/>
      <c r="S6" s="12"/>
      <c r="T6" s="12"/>
    </row>
    <row r="7" spans="1:20">
      <c r="A7" s="13" t="s">
        <v>2027</v>
      </c>
      <c r="B7" s="13" t="s">
        <v>2018</v>
      </c>
      <c r="C7" s="12" t="s">
        <v>2028</v>
      </c>
      <c r="D7" s="12" t="s">
        <v>2029</v>
      </c>
      <c r="E7" s="12" t="s">
        <v>2021</v>
      </c>
      <c r="F7" s="12" t="s">
        <v>976</v>
      </c>
      <c r="G7" s="12" t="s">
        <v>2030</v>
      </c>
      <c r="H7" s="13" t="s">
        <v>1247</v>
      </c>
      <c r="I7" s="13" t="s">
        <v>1247</v>
      </c>
      <c r="J7" s="13"/>
      <c r="K7" s="13"/>
      <c r="L7" s="13"/>
      <c r="M7" s="13"/>
      <c r="N7" s="13"/>
      <c r="O7" s="13"/>
      <c r="P7" s="23"/>
      <c r="Q7" s="13"/>
      <c r="R7" s="13"/>
      <c r="S7" s="12"/>
      <c r="T7" s="12"/>
    </row>
    <row r="8" spans="1:20">
      <c r="A8" s="13" t="s">
        <v>2031</v>
      </c>
      <c r="B8" s="13" t="s">
        <v>2018</v>
      </c>
      <c r="C8" s="12" t="s">
        <v>2032</v>
      </c>
      <c r="D8" s="12" t="s">
        <v>2033</v>
      </c>
      <c r="E8" s="12" t="s">
        <v>2021</v>
      </c>
      <c r="F8" s="12" t="s">
        <v>2034</v>
      </c>
      <c r="G8" s="12" t="s">
        <v>2035</v>
      </c>
      <c r="H8" s="13" t="s">
        <v>1247</v>
      </c>
      <c r="I8" s="13" t="s">
        <v>1247</v>
      </c>
      <c r="J8" s="13"/>
      <c r="K8" s="13"/>
      <c r="L8" s="13"/>
      <c r="M8" s="13"/>
      <c r="N8" s="13"/>
      <c r="O8" s="13"/>
      <c r="P8" s="23"/>
      <c r="Q8" s="13"/>
      <c r="R8" s="13"/>
      <c r="S8" s="12"/>
      <c r="T8" s="12"/>
    </row>
    <row r="9" spans="1:20">
      <c r="A9" s="13" t="s">
        <v>2036</v>
      </c>
      <c r="B9" s="13" t="s">
        <v>2037</v>
      </c>
      <c r="C9" s="12" t="s">
        <v>2038</v>
      </c>
      <c r="D9" s="12" t="s">
        <v>2039</v>
      </c>
      <c r="E9" s="12" t="s">
        <v>2040</v>
      </c>
      <c r="F9" s="12" t="s">
        <v>976</v>
      </c>
      <c r="G9" s="12" t="s">
        <v>2041</v>
      </c>
      <c r="H9" s="13" t="s">
        <v>1247</v>
      </c>
      <c r="I9" s="13" t="s">
        <v>1247</v>
      </c>
      <c r="J9" s="13"/>
      <c r="K9" s="13"/>
      <c r="L9" s="13"/>
      <c r="M9" s="13"/>
      <c r="N9" s="13"/>
      <c r="O9" s="13"/>
      <c r="P9" s="23"/>
      <c r="Q9" s="13"/>
      <c r="R9" s="13"/>
      <c r="S9" s="12"/>
      <c r="T9" s="12"/>
    </row>
    <row r="10" spans="1:20">
      <c r="A10" s="13" t="s">
        <v>2042</v>
      </c>
      <c r="B10" s="13" t="s">
        <v>2037</v>
      </c>
      <c r="C10" s="12" t="s">
        <v>930</v>
      </c>
      <c r="D10" s="12" t="s">
        <v>2039</v>
      </c>
      <c r="E10" s="12" t="s">
        <v>2043</v>
      </c>
      <c r="F10" s="12" t="s">
        <v>976</v>
      </c>
      <c r="G10" s="12" t="s">
        <v>2044</v>
      </c>
      <c r="H10" s="13" t="s">
        <v>1247</v>
      </c>
      <c r="I10" s="13" t="s">
        <v>1247</v>
      </c>
      <c r="J10" s="13"/>
      <c r="K10" s="13"/>
      <c r="L10" s="13"/>
      <c r="M10" s="13"/>
      <c r="N10" s="13"/>
      <c r="O10" s="13"/>
      <c r="P10" s="23"/>
      <c r="Q10" s="13"/>
      <c r="R10" s="13"/>
      <c r="S10" s="12"/>
      <c r="T10" s="12"/>
    </row>
    <row r="11" spans="1:20">
      <c r="A11" s="13" t="s">
        <v>2045</v>
      </c>
      <c r="B11" s="13" t="s">
        <v>2037</v>
      </c>
      <c r="C11" s="12" t="s">
        <v>2046</v>
      </c>
      <c r="D11" s="12" t="s">
        <v>2039</v>
      </c>
      <c r="E11" s="12" t="s">
        <v>2047</v>
      </c>
      <c r="F11" s="12" t="s">
        <v>976</v>
      </c>
      <c r="G11" s="12" t="s">
        <v>2048</v>
      </c>
      <c r="H11" s="13" t="s">
        <v>1247</v>
      </c>
      <c r="I11" s="13" t="s">
        <v>1247</v>
      </c>
      <c r="J11" s="13"/>
      <c r="K11" s="13"/>
      <c r="L11" s="13"/>
      <c r="M11" s="13"/>
      <c r="N11" s="13"/>
      <c r="O11" s="13"/>
      <c r="P11" s="23"/>
      <c r="Q11" s="13"/>
      <c r="R11" s="13"/>
      <c r="S11" s="12"/>
      <c r="T11" s="12"/>
    </row>
    <row r="12" spans="1:20">
      <c r="A12" s="13" t="s">
        <v>2049</v>
      </c>
      <c r="B12" s="13" t="s">
        <v>2037</v>
      </c>
      <c r="C12" s="12" t="s">
        <v>940</v>
      </c>
      <c r="D12" s="12" t="s">
        <v>2039</v>
      </c>
      <c r="E12" s="12" t="s">
        <v>2050</v>
      </c>
      <c r="F12" s="12" t="s">
        <v>976</v>
      </c>
      <c r="G12" s="12" t="s">
        <v>2051</v>
      </c>
      <c r="H12" s="13" t="s">
        <v>1247</v>
      </c>
      <c r="I12" s="13" t="s">
        <v>1247</v>
      </c>
      <c r="J12" s="13"/>
      <c r="K12" s="13"/>
      <c r="L12" s="13"/>
      <c r="M12" s="13"/>
      <c r="N12" s="13"/>
      <c r="O12" s="13"/>
      <c r="P12" s="23"/>
      <c r="Q12" s="13"/>
      <c r="R12" s="13"/>
      <c r="S12" s="12"/>
      <c r="T12" s="12"/>
    </row>
    <row r="13" spans="1:20">
      <c r="A13" s="13" t="s">
        <v>2052</v>
      </c>
      <c r="B13" s="13" t="s">
        <v>2037</v>
      </c>
      <c r="C13" s="12" t="s">
        <v>2053</v>
      </c>
      <c r="D13" s="12" t="s">
        <v>2039</v>
      </c>
      <c r="E13" s="12" t="s">
        <v>2054</v>
      </c>
      <c r="F13" s="12" t="s">
        <v>976</v>
      </c>
      <c r="G13" s="12" t="s">
        <v>2055</v>
      </c>
      <c r="H13" s="13" t="s">
        <v>1247</v>
      </c>
      <c r="I13" s="13" t="s">
        <v>1247</v>
      </c>
      <c r="J13" s="13"/>
      <c r="K13" s="13"/>
      <c r="L13" s="13"/>
      <c r="M13" s="13"/>
      <c r="N13" s="13"/>
      <c r="O13" s="13"/>
      <c r="P13" s="23"/>
      <c r="Q13" s="13"/>
      <c r="R13" s="13"/>
      <c r="S13" s="12"/>
      <c r="T13" s="12"/>
    </row>
    <row r="14" spans="1:20">
      <c r="A14" s="13" t="s">
        <v>2056</v>
      </c>
      <c r="B14" s="13" t="s">
        <v>2057</v>
      </c>
      <c r="C14" s="12" t="s">
        <v>2058</v>
      </c>
      <c r="D14" s="12" t="s">
        <v>2059</v>
      </c>
      <c r="E14" s="12" t="s">
        <v>2060</v>
      </c>
      <c r="F14" s="12" t="s">
        <v>976</v>
      </c>
      <c r="G14" s="12" t="s">
        <v>2061</v>
      </c>
      <c r="H14" s="13" t="s">
        <v>1247</v>
      </c>
      <c r="I14" s="13" t="s">
        <v>1247</v>
      </c>
      <c r="J14" s="13"/>
      <c r="K14" s="13"/>
      <c r="L14" s="13"/>
      <c r="M14" s="13"/>
      <c r="N14" s="13"/>
      <c r="O14" s="13"/>
      <c r="P14" s="23"/>
      <c r="Q14" s="13"/>
      <c r="R14" s="13"/>
      <c r="S14" s="12"/>
      <c r="T14" s="12"/>
    </row>
    <row r="15" spans="1:20">
      <c r="A15" s="13" t="s">
        <v>2062</v>
      </c>
      <c r="B15" s="13" t="s">
        <v>2063</v>
      </c>
      <c r="C15" s="12" t="s">
        <v>2064</v>
      </c>
      <c r="D15" s="12" t="s">
        <v>2039</v>
      </c>
      <c r="E15" s="12" t="s">
        <v>2065</v>
      </c>
      <c r="F15" s="12" t="s">
        <v>2066</v>
      </c>
      <c r="G15" s="12" t="s">
        <v>2067</v>
      </c>
      <c r="H15" s="13" t="s">
        <v>1247</v>
      </c>
      <c r="I15" s="13" t="s">
        <v>1247</v>
      </c>
      <c r="J15" s="13"/>
      <c r="K15" s="13"/>
      <c r="L15" s="13"/>
      <c r="M15" s="13"/>
      <c r="N15" s="13"/>
      <c r="O15" s="13"/>
      <c r="P15" s="23"/>
      <c r="Q15" s="13"/>
      <c r="R15" s="13"/>
      <c r="S15" s="12"/>
      <c r="T15" s="12"/>
    </row>
    <row r="16" spans="1:20">
      <c r="A16" s="13" t="s">
        <v>2068</v>
      </c>
      <c r="B16" s="13" t="s">
        <v>2063</v>
      </c>
      <c r="C16" s="12" t="s">
        <v>2069</v>
      </c>
      <c r="D16" s="12" t="s">
        <v>2039</v>
      </c>
      <c r="E16" s="12" t="s">
        <v>2065</v>
      </c>
      <c r="F16" s="12" t="s">
        <v>2070</v>
      </c>
      <c r="G16" s="12" t="s">
        <v>2071</v>
      </c>
      <c r="H16" s="13" t="s">
        <v>1247</v>
      </c>
      <c r="I16" s="13" t="s">
        <v>1247</v>
      </c>
      <c r="J16" s="13"/>
      <c r="K16" s="13"/>
      <c r="L16" s="13"/>
      <c r="M16" s="13"/>
      <c r="N16" s="13"/>
      <c r="O16" s="13"/>
      <c r="P16" s="23"/>
      <c r="Q16" s="13"/>
      <c r="R16" s="13"/>
      <c r="S16" s="12"/>
      <c r="T16" s="12"/>
    </row>
    <row r="17" spans="1:20" ht="23.25">
      <c r="A17" s="13" t="s">
        <v>2072</v>
      </c>
      <c r="B17" s="13" t="s">
        <v>2073</v>
      </c>
      <c r="C17" s="12" t="s">
        <v>2074</v>
      </c>
      <c r="D17" s="12" t="s">
        <v>2039</v>
      </c>
      <c r="E17" s="12" t="s">
        <v>2065</v>
      </c>
      <c r="F17" s="12" t="s">
        <v>2065</v>
      </c>
      <c r="G17" s="12" t="s">
        <v>2075</v>
      </c>
      <c r="H17" s="13" t="s">
        <v>1247</v>
      </c>
      <c r="I17" s="13" t="s">
        <v>1247</v>
      </c>
      <c r="J17" s="13"/>
      <c r="K17" s="13"/>
      <c r="L17" s="13"/>
      <c r="M17" s="13"/>
      <c r="N17" s="13"/>
      <c r="O17" s="13"/>
      <c r="P17" s="23"/>
      <c r="Q17" s="13"/>
      <c r="R17" s="13"/>
      <c r="S17" s="12"/>
      <c r="T17" s="12"/>
    </row>
    <row r="18" spans="1:20">
      <c r="A18" s="13" t="s">
        <v>2076</v>
      </c>
      <c r="B18" s="13" t="s">
        <v>2077</v>
      </c>
      <c r="C18" s="12" t="s">
        <v>2078</v>
      </c>
      <c r="D18" s="12" t="s">
        <v>2079</v>
      </c>
      <c r="E18" s="12" t="s">
        <v>1244</v>
      </c>
      <c r="F18" s="12" t="s">
        <v>1244</v>
      </c>
      <c r="G18" s="12" t="s">
        <v>2080</v>
      </c>
      <c r="H18" s="13" t="s">
        <v>1247</v>
      </c>
      <c r="I18" s="13" t="s">
        <v>1247</v>
      </c>
      <c r="J18" s="13"/>
      <c r="K18" s="13"/>
      <c r="L18" s="13"/>
      <c r="M18" s="13"/>
      <c r="N18" s="13"/>
      <c r="O18" s="13"/>
      <c r="P18" s="23"/>
      <c r="Q18" s="13"/>
      <c r="R18" s="13"/>
      <c r="S18" s="12"/>
      <c r="T18" s="12"/>
    </row>
    <row r="19" spans="1:20">
      <c r="A19" s="13" t="s">
        <v>2081</v>
      </c>
      <c r="B19" s="13" t="s">
        <v>669</v>
      </c>
      <c r="C19" s="12" t="s">
        <v>2082</v>
      </c>
      <c r="D19" s="12" t="s">
        <v>2083</v>
      </c>
      <c r="E19" s="12" t="s">
        <v>2084</v>
      </c>
      <c r="F19" s="12" t="s">
        <v>1244</v>
      </c>
      <c r="G19" s="12" t="s">
        <v>2085</v>
      </c>
      <c r="H19" s="13" t="s">
        <v>1247</v>
      </c>
      <c r="I19" s="13" t="s">
        <v>1247</v>
      </c>
      <c r="J19" s="13"/>
      <c r="K19" s="13"/>
      <c r="L19" s="13"/>
      <c r="M19" s="13"/>
      <c r="N19" s="13"/>
      <c r="O19" s="13"/>
      <c r="P19" s="23"/>
      <c r="Q19" s="13"/>
      <c r="R19" s="13"/>
      <c r="S19" s="12"/>
      <c r="T19" s="12"/>
    </row>
    <row r="20" spans="1:20">
      <c r="A20" s="13" t="s">
        <v>2086</v>
      </c>
      <c r="B20" s="13" t="s">
        <v>2087</v>
      </c>
      <c r="C20" s="12" t="s">
        <v>2088</v>
      </c>
      <c r="D20" s="12" t="s">
        <v>2039</v>
      </c>
      <c r="E20" s="12" t="s">
        <v>2065</v>
      </c>
      <c r="F20" s="12" t="s">
        <v>2065</v>
      </c>
      <c r="G20" s="12" t="s">
        <v>2089</v>
      </c>
      <c r="H20" s="13" t="s">
        <v>1247</v>
      </c>
      <c r="I20" s="13" t="s">
        <v>1247</v>
      </c>
      <c r="J20" s="13"/>
      <c r="K20" s="13"/>
      <c r="L20" s="13"/>
      <c r="M20" s="13"/>
      <c r="N20" s="13"/>
      <c r="O20" s="13"/>
      <c r="P20" s="23"/>
      <c r="Q20" s="13"/>
      <c r="R20" s="13"/>
      <c r="S20" s="12"/>
      <c r="T20" s="12"/>
    </row>
    <row r="21" spans="1:20">
      <c r="A21" s="13" t="s">
        <v>2090</v>
      </c>
      <c r="B21" s="13" t="s">
        <v>2087</v>
      </c>
      <c r="C21" s="12" t="s">
        <v>2091</v>
      </c>
      <c r="D21" s="12" t="s">
        <v>2039</v>
      </c>
      <c r="E21" s="12" t="s">
        <v>2065</v>
      </c>
      <c r="F21" s="12" t="s">
        <v>2065</v>
      </c>
      <c r="G21" s="12" t="s">
        <v>2092</v>
      </c>
      <c r="H21" s="13" t="s">
        <v>1247</v>
      </c>
      <c r="I21" s="13" t="s">
        <v>1247</v>
      </c>
      <c r="J21" s="13"/>
      <c r="K21" s="13"/>
      <c r="L21" s="13"/>
      <c r="M21" s="13"/>
      <c r="N21" s="13"/>
      <c r="O21" s="13"/>
      <c r="P21" s="23"/>
      <c r="Q21" s="13"/>
      <c r="R21" s="13"/>
      <c r="S21" s="12"/>
      <c r="T21" s="12"/>
    </row>
    <row r="22" spans="1:20">
      <c r="A22" s="13" t="s">
        <v>2093</v>
      </c>
      <c r="B22" s="13" t="s">
        <v>2087</v>
      </c>
      <c r="C22" s="12" t="s">
        <v>2094</v>
      </c>
      <c r="D22" s="12" t="s">
        <v>2039</v>
      </c>
      <c r="E22" s="12" t="s">
        <v>2065</v>
      </c>
      <c r="F22" s="12" t="s">
        <v>2065</v>
      </c>
      <c r="G22" s="12" t="s">
        <v>2095</v>
      </c>
      <c r="H22" s="13" t="s">
        <v>1247</v>
      </c>
      <c r="I22" s="13" t="s">
        <v>1247</v>
      </c>
      <c r="J22" s="13"/>
      <c r="K22" s="13"/>
      <c r="L22" s="13"/>
      <c r="M22" s="13"/>
      <c r="N22" s="13"/>
      <c r="O22" s="13"/>
      <c r="P22" s="23"/>
      <c r="Q22" s="13"/>
      <c r="R22" s="13"/>
      <c r="S22" s="12"/>
      <c r="T22" s="12"/>
    </row>
    <row r="23" spans="1:20">
      <c r="A23" s="13" t="s">
        <v>2096</v>
      </c>
      <c r="B23" s="13" t="s">
        <v>2097</v>
      </c>
      <c r="C23" s="12" t="s">
        <v>2098</v>
      </c>
      <c r="D23" s="12" t="s">
        <v>735</v>
      </c>
      <c r="E23" s="12" t="s">
        <v>1244</v>
      </c>
      <c r="F23" s="12" t="s">
        <v>1244</v>
      </c>
      <c r="G23" s="12" t="s">
        <v>2099</v>
      </c>
      <c r="H23" s="13" t="s">
        <v>1247</v>
      </c>
      <c r="I23" s="13" t="s">
        <v>1247</v>
      </c>
      <c r="J23" s="13"/>
      <c r="K23" s="13"/>
      <c r="L23" s="13"/>
      <c r="M23" s="13"/>
      <c r="N23" s="13"/>
      <c r="O23" s="13"/>
      <c r="P23" s="23"/>
      <c r="Q23" s="13"/>
      <c r="R23" s="13"/>
      <c r="S23" s="12"/>
      <c r="T23" s="12"/>
    </row>
    <row r="24" spans="1:20">
      <c r="A24" s="13" t="s">
        <v>2100</v>
      </c>
      <c r="B24" s="13" t="s">
        <v>2101</v>
      </c>
      <c r="C24" s="12" t="s">
        <v>2102</v>
      </c>
      <c r="D24" s="12" t="s">
        <v>2103</v>
      </c>
      <c r="E24" s="12" t="s">
        <v>2065</v>
      </c>
      <c r="F24" s="12" t="s">
        <v>2065</v>
      </c>
      <c r="G24" s="12" t="s">
        <v>2104</v>
      </c>
      <c r="H24" s="13" t="s">
        <v>1247</v>
      </c>
      <c r="I24" s="13" t="s">
        <v>1247</v>
      </c>
      <c r="J24" s="13"/>
      <c r="K24" s="13"/>
      <c r="L24" s="13"/>
      <c r="M24" s="13"/>
      <c r="N24" s="13"/>
      <c r="O24" s="13"/>
      <c r="P24" s="23"/>
      <c r="Q24" s="13"/>
      <c r="R24" s="13"/>
      <c r="S24" s="12"/>
      <c r="T24" s="12"/>
    </row>
    <row r="25" spans="1:20">
      <c r="A25" s="13" t="s">
        <v>2105</v>
      </c>
      <c r="B25" s="13" t="s">
        <v>2106</v>
      </c>
      <c r="C25" s="12" t="s">
        <v>2107</v>
      </c>
      <c r="D25" s="12" t="s">
        <v>2108</v>
      </c>
      <c r="E25" s="12" t="s">
        <v>2065</v>
      </c>
      <c r="F25" s="12" t="s">
        <v>2065</v>
      </c>
      <c r="G25" s="12" t="s">
        <v>2109</v>
      </c>
      <c r="H25" s="13" t="s">
        <v>1247</v>
      </c>
      <c r="I25" s="13" t="s">
        <v>1247</v>
      </c>
      <c r="J25" s="13"/>
      <c r="K25" s="13"/>
      <c r="L25" s="13"/>
      <c r="M25" s="13"/>
      <c r="N25" s="13"/>
      <c r="O25" s="13"/>
      <c r="P25" s="23"/>
      <c r="Q25" s="13"/>
      <c r="R25" s="13"/>
      <c r="S25" s="12"/>
      <c r="T25" s="12"/>
    </row>
    <row r="26" spans="1:20">
      <c r="A26" s="13" t="s">
        <v>2110</v>
      </c>
      <c r="B26" s="13" t="s">
        <v>2111</v>
      </c>
      <c r="C26" s="12" t="s">
        <v>2112</v>
      </c>
      <c r="D26" s="12" t="s">
        <v>1244</v>
      </c>
      <c r="E26" s="12" t="s">
        <v>1244</v>
      </c>
      <c r="F26" s="12" t="s">
        <v>1244</v>
      </c>
      <c r="G26" s="12" t="s">
        <v>2113</v>
      </c>
      <c r="H26" s="13" t="s">
        <v>1247</v>
      </c>
      <c r="I26" s="13" t="s">
        <v>1247</v>
      </c>
      <c r="J26" s="13"/>
      <c r="K26" s="13"/>
      <c r="L26" s="13"/>
      <c r="M26" s="13"/>
      <c r="N26" s="13"/>
      <c r="O26" s="13"/>
      <c r="P26" s="23"/>
      <c r="Q26" s="13"/>
      <c r="R26" s="13"/>
      <c r="S26" s="12"/>
      <c r="T26" s="12"/>
    </row>
    <row r="27" spans="1:20">
      <c r="A27" s="13" t="s">
        <v>2114</v>
      </c>
      <c r="B27" s="13" t="s">
        <v>2115</v>
      </c>
      <c r="C27" s="12" t="s">
        <v>2116</v>
      </c>
      <c r="D27" s="12" t="s">
        <v>2117</v>
      </c>
      <c r="E27" s="12" t="s">
        <v>1244</v>
      </c>
      <c r="F27" s="12" t="s">
        <v>1244</v>
      </c>
      <c r="G27" s="12" t="s">
        <v>1285</v>
      </c>
      <c r="H27" s="13" t="s">
        <v>1247</v>
      </c>
      <c r="I27" s="13" t="s">
        <v>1247</v>
      </c>
      <c r="J27" s="13"/>
      <c r="K27" s="13"/>
      <c r="L27" s="13"/>
      <c r="M27" s="13"/>
      <c r="N27" s="13"/>
      <c r="O27" s="13"/>
      <c r="P27" s="23"/>
      <c r="Q27" s="13"/>
      <c r="R27" s="13"/>
      <c r="S27" s="12"/>
      <c r="T27" s="12"/>
    </row>
    <row r="28" spans="1:20">
      <c r="A28" s="13" t="s">
        <v>2118</v>
      </c>
      <c r="B28" s="13" t="s">
        <v>2115</v>
      </c>
      <c r="C28" s="12" t="s">
        <v>2119</v>
      </c>
      <c r="D28" s="12" t="s">
        <v>2120</v>
      </c>
      <c r="E28" s="12" t="s">
        <v>1244</v>
      </c>
      <c r="F28" s="12" t="s">
        <v>1244</v>
      </c>
      <c r="G28" s="12" t="s">
        <v>2121</v>
      </c>
      <c r="H28" s="13" t="s">
        <v>1247</v>
      </c>
      <c r="I28" s="13" t="s">
        <v>1247</v>
      </c>
      <c r="J28" s="13"/>
      <c r="K28" s="13"/>
      <c r="L28" s="13"/>
      <c r="M28" s="13"/>
      <c r="N28" s="13"/>
      <c r="O28" s="13"/>
      <c r="P28" s="23"/>
      <c r="Q28" s="13"/>
      <c r="R28" s="13"/>
      <c r="S28" s="12"/>
      <c r="T28" s="12"/>
    </row>
    <row r="29" spans="1:20">
      <c r="A29" s="13" t="s">
        <v>2122</v>
      </c>
      <c r="B29" s="13" t="s">
        <v>2123</v>
      </c>
      <c r="C29" s="12" t="s">
        <v>2124</v>
      </c>
      <c r="D29" s="12" t="s">
        <v>2125</v>
      </c>
      <c r="E29" s="12" t="s">
        <v>2126</v>
      </c>
      <c r="F29" s="12" t="s">
        <v>2065</v>
      </c>
      <c r="G29" s="12" t="s">
        <v>2127</v>
      </c>
      <c r="H29" s="13" t="s">
        <v>1247</v>
      </c>
      <c r="I29" s="13" t="s">
        <v>1247</v>
      </c>
      <c r="J29" s="13"/>
      <c r="K29" s="13"/>
      <c r="L29" s="13"/>
      <c r="M29" s="13"/>
      <c r="N29" s="13"/>
      <c r="O29" s="13"/>
      <c r="P29" s="23"/>
      <c r="Q29" s="13"/>
      <c r="R29" s="13"/>
      <c r="S29" s="12"/>
      <c r="T29" s="12"/>
    </row>
    <row r="30" spans="1:20">
      <c r="A30" s="13" t="s">
        <v>2128</v>
      </c>
      <c r="B30" s="13" t="s">
        <v>2129</v>
      </c>
      <c r="C30" s="12" t="s">
        <v>1756</v>
      </c>
      <c r="D30" s="12" t="s">
        <v>2130</v>
      </c>
      <c r="E30" s="12" t="s">
        <v>2065</v>
      </c>
      <c r="F30" s="12" t="s">
        <v>2065</v>
      </c>
      <c r="G30" s="12" t="s">
        <v>2131</v>
      </c>
      <c r="H30" s="13" t="s">
        <v>1247</v>
      </c>
      <c r="I30" s="13" t="s">
        <v>1247</v>
      </c>
      <c r="J30" s="13"/>
      <c r="K30" s="13"/>
      <c r="L30" s="13"/>
      <c r="M30" s="13"/>
      <c r="N30" s="13"/>
      <c r="O30" s="13"/>
      <c r="P30" s="23"/>
      <c r="Q30" s="13"/>
      <c r="R30" s="13"/>
      <c r="S30" s="12"/>
      <c r="T30" s="12"/>
    </row>
    <row r="31" spans="1:20">
      <c r="A31" s="13" t="s">
        <v>2132</v>
      </c>
      <c r="B31" s="13" t="s">
        <v>402</v>
      </c>
      <c r="C31" s="12" t="s">
        <v>2133</v>
      </c>
      <c r="D31" s="12" t="s">
        <v>2039</v>
      </c>
      <c r="E31" s="12" t="s">
        <v>2065</v>
      </c>
      <c r="F31" s="12" t="s">
        <v>2065</v>
      </c>
      <c r="G31" s="12" t="s">
        <v>2134</v>
      </c>
      <c r="H31" s="13" t="s">
        <v>1247</v>
      </c>
      <c r="I31" s="13" t="s">
        <v>1247</v>
      </c>
      <c r="J31" s="13"/>
      <c r="K31" s="13"/>
      <c r="L31" s="13"/>
      <c r="M31" s="13"/>
      <c r="N31" s="13"/>
      <c r="O31" s="13"/>
      <c r="P31" s="23"/>
      <c r="Q31" s="13"/>
      <c r="R31" s="13"/>
      <c r="S31" s="12"/>
      <c r="T31" s="12"/>
    </row>
    <row r="32" spans="1:20">
      <c r="A32" s="13" t="s">
        <v>2135</v>
      </c>
      <c r="B32" s="13" t="s">
        <v>683</v>
      </c>
      <c r="C32" s="12" t="s">
        <v>2136</v>
      </c>
      <c r="D32" s="12" t="s">
        <v>1244</v>
      </c>
      <c r="E32" s="12" t="s">
        <v>1244</v>
      </c>
      <c r="F32" s="12" t="s">
        <v>1244</v>
      </c>
      <c r="G32" s="12" t="s">
        <v>2137</v>
      </c>
      <c r="H32" s="13" t="s">
        <v>1247</v>
      </c>
      <c r="I32" s="13" t="s">
        <v>1247</v>
      </c>
      <c r="J32" s="13"/>
      <c r="K32" s="13"/>
      <c r="L32" s="13"/>
      <c r="M32" s="13"/>
      <c r="N32" s="13"/>
      <c r="O32" s="13"/>
      <c r="P32" s="23"/>
      <c r="Q32" s="13"/>
      <c r="R32" s="13"/>
      <c r="S32" s="12"/>
      <c r="T32" s="12"/>
    </row>
    <row r="33" spans="1:20">
      <c r="A33" s="13" t="s">
        <v>2138</v>
      </c>
      <c r="B33" s="13" t="s">
        <v>374</v>
      </c>
      <c r="C33" s="12" t="s">
        <v>2139</v>
      </c>
      <c r="D33" s="12" t="s">
        <v>2140</v>
      </c>
      <c r="E33" s="12" t="s">
        <v>1244</v>
      </c>
      <c r="F33" s="12" t="s">
        <v>1244</v>
      </c>
      <c r="G33" s="12" t="s">
        <v>2141</v>
      </c>
      <c r="H33" s="13" t="s">
        <v>1247</v>
      </c>
      <c r="I33" s="13" t="s">
        <v>1247</v>
      </c>
      <c r="J33" s="13"/>
      <c r="K33" s="13"/>
      <c r="L33" s="13"/>
      <c r="M33" s="13"/>
      <c r="N33" s="13"/>
      <c r="O33" s="13"/>
      <c r="P33" s="23"/>
      <c r="Q33" s="13"/>
      <c r="R33" s="13"/>
      <c r="S33" s="12"/>
      <c r="T33" s="12"/>
    </row>
    <row r="34" spans="1:20">
      <c r="A34" s="13" t="s">
        <v>2142</v>
      </c>
      <c r="B34" s="13" t="s">
        <v>374</v>
      </c>
      <c r="C34" s="12" t="s">
        <v>2143</v>
      </c>
      <c r="D34" s="12" t="s">
        <v>2144</v>
      </c>
      <c r="E34" s="12" t="s">
        <v>1244</v>
      </c>
      <c r="F34" s="12" t="s">
        <v>1244</v>
      </c>
      <c r="G34" s="12" t="s">
        <v>2145</v>
      </c>
      <c r="H34" s="13" t="s">
        <v>1247</v>
      </c>
      <c r="I34" s="13" t="s">
        <v>1247</v>
      </c>
      <c r="J34" s="13"/>
      <c r="K34" s="13"/>
      <c r="L34" s="13"/>
      <c r="M34" s="13"/>
      <c r="N34" s="13"/>
      <c r="O34" s="13"/>
      <c r="P34" s="23"/>
      <c r="Q34" s="13"/>
      <c r="R34" s="13"/>
      <c r="S34" s="12"/>
      <c r="T34" s="12"/>
    </row>
    <row r="35" spans="1:20">
      <c r="A35" s="13" t="s">
        <v>2146</v>
      </c>
      <c r="B35" s="13" t="s">
        <v>2147</v>
      </c>
      <c r="C35" s="12" t="s">
        <v>2148</v>
      </c>
      <c r="D35" s="12" t="s">
        <v>2039</v>
      </c>
      <c r="E35" s="12" t="s">
        <v>2065</v>
      </c>
      <c r="F35" s="12" t="s">
        <v>2065</v>
      </c>
      <c r="G35" s="12" t="s">
        <v>2149</v>
      </c>
      <c r="H35" s="13" t="s">
        <v>1247</v>
      </c>
      <c r="I35" s="13" t="s">
        <v>1247</v>
      </c>
      <c r="J35" s="13"/>
      <c r="K35" s="13"/>
      <c r="L35" s="13"/>
      <c r="M35" s="13"/>
      <c r="N35" s="13"/>
      <c r="O35" s="13"/>
      <c r="P35" s="23"/>
      <c r="Q35" s="13"/>
      <c r="R35" s="13"/>
      <c r="S35" s="12"/>
      <c r="T35" s="12"/>
    </row>
    <row r="36" spans="1:20">
      <c r="A36" s="13" t="s">
        <v>2150</v>
      </c>
      <c r="B36" s="13" t="s">
        <v>2147</v>
      </c>
      <c r="C36" s="12" t="s">
        <v>2151</v>
      </c>
      <c r="D36" s="12" t="s">
        <v>2039</v>
      </c>
      <c r="E36" s="12" t="s">
        <v>2065</v>
      </c>
      <c r="F36" s="12" t="s">
        <v>2065</v>
      </c>
      <c r="G36" s="12" t="s">
        <v>2152</v>
      </c>
      <c r="H36" s="13" t="s">
        <v>1247</v>
      </c>
      <c r="I36" s="13" t="s">
        <v>1247</v>
      </c>
      <c r="J36" s="13"/>
      <c r="K36" s="13"/>
      <c r="L36" s="13"/>
      <c r="M36" s="13"/>
      <c r="N36" s="13"/>
      <c r="O36" s="13"/>
      <c r="P36" s="23"/>
      <c r="Q36" s="13"/>
      <c r="R36" s="13"/>
      <c r="S36" s="12"/>
      <c r="T36" s="12"/>
    </row>
    <row r="37" spans="1:20">
      <c r="A37" s="13" t="s">
        <v>2153</v>
      </c>
      <c r="B37" s="13" t="s">
        <v>2154</v>
      </c>
      <c r="C37" s="12" t="s">
        <v>2155</v>
      </c>
      <c r="D37" s="12" t="s">
        <v>2156</v>
      </c>
      <c r="E37" s="12" t="s">
        <v>2157</v>
      </c>
      <c r="F37" s="12" t="s">
        <v>2065</v>
      </c>
      <c r="G37" s="12" t="s">
        <v>2158</v>
      </c>
      <c r="H37" s="13" t="s">
        <v>1247</v>
      </c>
      <c r="I37" s="13" t="s">
        <v>1247</v>
      </c>
      <c r="J37" s="13"/>
      <c r="K37" s="13"/>
      <c r="L37" s="13"/>
      <c r="M37" s="13"/>
      <c r="N37" s="13"/>
      <c r="O37" s="13"/>
      <c r="P37" s="23"/>
      <c r="Q37" s="13"/>
      <c r="R37" s="13"/>
      <c r="S37" s="12"/>
      <c r="T37" s="12"/>
    </row>
    <row r="38" spans="1:20">
      <c r="A38" s="13" t="s">
        <v>2159</v>
      </c>
      <c r="B38" s="13" t="s">
        <v>2160</v>
      </c>
      <c r="C38" s="12" t="s">
        <v>2161</v>
      </c>
      <c r="D38" s="12" t="s">
        <v>2039</v>
      </c>
      <c r="E38" s="12" t="s">
        <v>2157</v>
      </c>
      <c r="F38" s="12" t="s">
        <v>2065</v>
      </c>
      <c r="G38" s="12" t="s">
        <v>2162</v>
      </c>
      <c r="H38" s="13" t="s">
        <v>1247</v>
      </c>
      <c r="I38" s="13" t="s">
        <v>1247</v>
      </c>
      <c r="J38" s="13"/>
      <c r="K38" s="13"/>
      <c r="L38" s="13"/>
      <c r="M38" s="13"/>
      <c r="N38" s="13"/>
      <c r="O38" s="13"/>
      <c r="P38" s="23"/>
      <c r="Q38" s="13"/>
      <c r="R38" s="13"/>
      <c r="S38" s="12"/>
      <c r="T38" s="12"/>
    </row>
    <row r="39" spans="1:20">
      <c r="A39" s="13" t="s">
        <v>2163</v>
      </c>
      <c r="B39" s="13" t="s">
        <v>2164</v>
      </c>
      <c r="C39" s="12" t="s">
        <v>2165</v>
      </c>
      <c r="D39" s="12" t="s">
        <v>2166</v>
      </c>
      <c r="E39" s="12" t="s">
        <v>2065</v>
      </c>
      <c r="F39" s="12" t="s">
        <v>2065</v>
      </c>
      <c r="G39" s="12" t="s">
        <v>2167</v>
      </c>
      <c r="H39" s="13" t="s">
        <v>1247</v>
      </c>
      <c r="I39" s="13" t="s">
        <v>1247</v>
      </c>
      <c r="J39" s="13"/>
      <c r="K39" s="13"/>
      <c r="L39" s="13"/>
      <c r="M39" s="13"/>
      <c r="N39" s="13"/>
      <c r="O39" s="13"/>
      <c r="P39" s="23"/>
      <c r="Q39" s="13"/>
      <c r="R39" s="13"/>
      <c r="S39" s="12"/>
      <c r="T39" s="12"/>
    </row>
  </sheetData>
  <mergeCells count="2">
    <mergeCell ref="A1:T1"/>
    <mergeCell ref="A3:T3"/>
  </mergeCells>
  <phoneticPr fontId="22" type="noConversion"/>
  <conditionalFormatting sqref="H5:I39">
    <cfRule type="expression" dxfId="22" priority="1">
      <formula>H5="通过"</formula>
    </cfRule>
    <cfRule type="expression" dxfId="21" priority="2">
      <formula>H5="执行中"</formula>
    </cfRule>
    <cfRule type="expression" dxfId="20" priority="3">
      <formula>H5="失败"</formula>
    </cfRule>
    <cfRule type="expression" dxfId="19" priority="4">
      <formula>H5="已阻塞"</formula>
    </cfRule>
    <cfRule type="expression" dxfId="18" priority="5">
      <formula>H5="未执行"</formula>
    </cfRule>
  </conditionalFormatting>
  <dataValidations count="2">
    <dataValidation type="list" sqref="H5:H39" xr:uid="{00000000-0002-0000-0600-000000000000}">
      <formula1>"未执行,执行中,通过,失败,已阻塞"</formula1>
    </dataValidation>
    <dataValidation type="list" sqref="I5:I39" xr:uid="{00000000-0002-0000-0600-000001000000}">
      <formula1>"未执行,通过,失败"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3"/>
  <sheetViews>
    <sheetView workbookViewId="0"/>
  </sheetViews>
  <sheetFormatPr defaultRowHeight="13.5"/>
  <cols>
    <col min="1" max="1" width="14" customWidth="1"/>
    <col min="2" max="2" width="22" customWidth="1"/>
    <col min="3" max="3" width="32" customWidth="1"/>
    <col min="4" max="4" width="42" customWidth="1"/>
    <col min="5" max="5" width="22" customWidth="1"/>
    <col min="6" max="6" width="11" customWidth="1"/>
    <col min="7" max="7" width="38" customWidth="1"/>
    <col min="8" max="8" width="11" customWidth="1"/>
    <col min="9" max="9" width="13" customWidth="1"/>
    <col min="10" max="10" width="22" customWidth="1"/>
    <col min="11" max="11" width="12" customWidth="1"/>
    <col min="12" max="12" width="30" customWidth="1"/>
  </cols>
  <sheetData>
    <row r="1" spans="1:12" ht="8.5500000000000007" customHeight="1">
      <c r="A1" s="44" t="s">
        <v>2168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1:12" ht="7.05" customHeight="1">
      <c r="A3" s="45" t="s">
        <v>2169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5" spans="1:12" ht="6" customHeight="1">
      <c r="A5" s="46" t="s">
        <v>2170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7.5" customHeight="1">
      <c r="A6" s="22" t="s">
        <v>2171</v>
      </c>
      <c r="B6" s="22" t="s">
        <v>2172</v>
      </c>
      <c r="C6" s="22" t="s">
        <v>2173</v>
      </c>
      <c r="D6" s="22" t="s">
        <v>2174</v>
      </c>
      <c r="E6" s="22" t="s">
        <v>2175</v>
      </c>
      <c r="F6" s="22" t="s">
        <v>308</v>
      </c>
      <c r="G6" s="22" t="s">
        <v>2176</v>
      </c>
    </row>
    <row r="7" spans="1:12" ht="34.9">
      <c r="A7" s="12" t="s">
        <v>2177</v>
      </c>
      <c r="B7" s="12" t="s">
        <v>2178</v>
      </c>
      <c r="C7" s="12" t="s">
        <v>2179</v>
      </c>
      <c r="D7" s="12" t="s">
        <v>2180</v>
      </c>
      <c r="E7" s="12" t="s">
        <v>2181</v>
      </c>
      <c r="F7" s="12" t="s">
        <v>2182</v>
      </c>
      <c r="G7" s="12" t="s">
        <v>2183</v>
      </c>
    </row>
    <row r="8" spans="1:12" ht="46.5">
      <c r="A8" s="12" t="s">
        <v>697</v>
      </c>
      <c r="B8" s="12" t="s">
        <v>2184</v>
      </c>
      <c r="C8" s="12" t="s">
        <v>2185</v>
      </c>
      <c r="D8" s="12" t="s">
        <v>2186</v>
      </c>
      <c r="E8" s="12" t="s">
        <v>2187</v>
      </c>
      <c r="F8" s="12" t="s">
        <v>2188</v>
      </c>
      <c r="G8" s="12" t="s">
        <v>2189</v>
      </c>
    </row>
    <row r="9" spans="1:12" ht="23.25">
      <c r="A9" s="12" t="s">
        <v>1191</v>
      </c>
      <c r="B9" s="12" t="s">
        <v>2190</v>
      </c>
      <c r="C9" s="12" t="s">
        <v>2191</v>
      </c>
      <c r="D9" s="12" t="s">
        <v>2192</v>
      </c>
      <c r="E9" s="12" t="s">
        <v>2193</v>
      </c>
      <c r="F9" s="12" t="s">
        <v>2194</v>
      </c>
      <c r="G9" s="12" t="s">
        <v>2195</v>
      </c>
    </row>
    <row r="10" spans="1:12" ht="34.9">
      <c r="A10" s="12" t="s">
        <v>2196</v>
      </c>
      <c r="B10" s="12" t="s">
        <v>219</v>
      </c>
      <c r="C10" s="12" t="s">
        <v>2197</v>
      </c>
      <c r="D10" s="12" t="s">
        <v>2192</v>
      </c>
      <c r="E10" s="12" t="s">
        <v>2198</v>
      </c>
      <c r="F10" s="12" t="s">
        <v>2199</v>
      </c>
      <c r="G10" s="12" t="s">
        <v>2200</v>
      </c>
    </row>
    <row r="11" spans="1:12" ht="34.9">
      <c r="A11" s="12" t="s">
        <v>2201</v>
      </c>
      <c r="B11" s="12" t="s">
        <v>2202</v>
      </c>
      <c r="C11" s="12" t="s">
        <v>2203</v>
      </c>
      <c r="D11" s="12" t="s">
        <v>2204</v>
      </c>
      <c r="E11" s="12" t="s">
        <v>2205</v>
      </c>
      <c r="F11" s="12" t="s">
        <v>2206</v>
      </c>
      <c r="G11" s="12" t="s">
        <v>2207</v>
      </c>
    </row>
    <row r="12" spans="1:12" ht="23.25">
      <c r="A12" s="12" t="s">
        <v>2208</v>
      </c>
      <c r="B12" s="12" t="s">
        <v>2209</v>
      </c>
      <c r="C12" s="12" t="s">
        <v>2210</v>
      </c>
      <c r="D12" s="12" t="s">
        <v>2211</v>
      </c>
      <c r="E12" s="12" t="s">
        <v>2212</v>
      </c>
      <c r="F12" s="12" t="s">
        <v>2213</v>
      </c>
      <c r="G12" s="12" t="s">
        <v>2214</v>
      </c>
    </row>
    <row r="13" spans="1:12" ht="23.25">
      <c r="A13" s="12" t="s">
        <v>374</v>
      </c>
      <c r="B13" s="12" t="s">
        <v>66</v>
      </c>
      <c r="C13" s="12" t="s">
        <v>2215</v>
      </c>
      <c r="D13" s="12" t="s">
        <v>2216</v>
      </c>
      <c r="E13" s="12" t="s">
        <v>2217</v>
      </c>
      <c r="F13" s="12" t="s">
        <v>2218</v>
      </c>
      <c r="G13" s="12" t="s">
        <v>2219</v>
      </c>
    </row>
    <row r="14" spans="1:12" ht="23.25">
      <c r="A14" s="12" t="s">
        <v>2220</v>
      </c>
      <c r="B14" s="12" t="s">
        <v>2221</v>
      </c>
      <c r="C14" s="12" t="s">
        <v>2222</v>
      </c>
      <c r="D14" s="12" t="s">
        <v>2192</v>
      </c>
      <c r="E14" s="12" t="s">
        <v>2223</v>
      </c>
      <c r="F14" s="12" t="s">
        <v>2224</v>
      </c>
      <c r="G14" s="12" t="s">
        <v>2225</v>
      </c>
    </row>
    <row r="15" spans="1:12" ht="34.9">
      <c r="A15" s="12" t="s">
        <v>2226</v>
      </c>
      <c r="B15" s="12" t="s">
        <v>2227</v>
      </c>
      <c r="C15" s="12" t="s">
        <v>2228</v>
      </c>
      <c r="D15" s="12" t="s">
        <v>2192</v>
      </c>
      <c r="E15" s="12" t="s">
        <v>2229</v>
      </c>
      <c r="F15" s="12" t="s">
        <v>2230</v>
      </c>
      <c r="G15" s="12" t="s">
        <v>2231</v>
      </c>
    </row>
    <row r="16" spans="1:12" ht="23.25">
      <c r="A16" s="12" t="s">
        <v>2232</v>
      </c>
      <c r="B16" s="12" t="s">
        <v>2233</v>
      </c>
      <c r="C16" s="12" t="s">
        <v>2234</v>
      </c>
      <c r="D16" s="12" t="s">
        <v>388</v>
      </c>
      <c r="E16" s="12" t="s">
        <v>2235</v>
      </c>
      <c r="F16" s="12" t="s">
        <v>1140</v>
      </c>
      <c r="G16" s="12" t="s">
        <v>2236</v>
      </c>
    </row>
    <row r="18" spans="1:12" ht="6" customHeight="1">
      <c r="A18" s="46" t="s">
        <v>2237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7.5" customHeight="1">
      <c r="A19" s="22" t="s">
        <v>2238</v>
      </c>
      <c r="B19" s="22" t="s">
        <v>301</v>
      </c>
      <c r="C19" s="22" t="s">
        <v>1191</v>
      </c>
      <c r="D19" s="22" t="s">
        <v>2208</v>
      </c>
      <c r="E19" s="22" t="s">
        <v>374</v>
      </c>
      <c r="F19" s="22" t="s">
        <v>2239</v>
      </c>
      <c r="G19" s="22" t="s">
        <v>2240</v>
      </c>
    </row>
    <row r="20" spans="1:12">
      <c r="A20" s="12" t="s">
        <v>2241</v>
      </c>
      <c r="B20" s="12" t="s">
        <v>2242</v>
      </c>
      <c r="C20" s="12" t="s">
        <v>2243</v>
      </c>
      <c r="D20" s="12" t="s">
        <v>2244</v>
      </c>
      <c r="E20" s="12" t="s">
        <v>2245</v>
      </c>
      <c r="F20" s="12" t="s">
        <v>2246</v>
      </c>
      <c r="G20" s="12" t="s">
        <v>2247</v>
      </c>
    </row>
    <row r="21" spans="1:12">
      <c r="A21" s="12" t="s">
        <v>2248</v>
      </c>
      <c r="B21" s="12" t="s">
        <v>2249</v>
      </c>
      <c r="C21" s="12" t="s">
        <v>2250</v>
      </c>
      <c r="D21" s="12" t="s">
        <v>2251</v>
      </c>
      <c r="E21" s="12" t="s">
        <v>2252</v>
      </c>
      <c r="F21" s="12" t="s">
        <v>2253</v>
      </c>
      <c r="G21" s="12" t="s">
        <v>2254</v>
      </c>
    </row>
    <row r="22" spans="1:12">
      <c r="A22" s="12" t="s">
        <v>2255</v>
      </c>
      <c r="B22" s="12" t="s">
        <v>2256</v>
      </c>
      <c r="C22" s="12" t="s">
        <v>2257</v>
      </c>
      <c r="D22" s="12" t="s">
        <v>2258</v>
      </c>
      <c r="E22" s="12" t="s">
        <v>2245</v>
      </c>
      <c r="F22" s="12" t="s">
        <v>2259</v>
      </c>
      <c r="G22" s="12" t="s">
        <v>2260</v>
      </c>
    </row>
    <row r="23" spans="1:12">
      <c r="A23" s="12" t="s">
        <v>1978</v>
      </c>
      <c r="B23" s="12" t="s">
        <v>2261</v>
      </c>
      <c r="C23" s="12" t="s">
        <v>2262</v>
      </c>
      <c r="D23" s="12" t="s">
        <v>2263</v>
      </c>
      <c r="E23" s="12" t="s">
        <v>2264</v>
      </c>
      <c r="F23" s="12" t="s">
        <v>2265</v>
      </c>
      <c r="G23" s="12" t="s">
        <v>2266</v>
      </c>
    </row>
    <row r="25" spans="1:12" ht="6" customHeight="1">
      <c r="A25" s="46" t="s">
        <v>2267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7.5" customHeight="1">
      <c r="A26" s="22" t="s">
        <v>37</v>
      </c>
      <c r="B26" s="22" t="s">
        <v>443</v>
      </c>
      <c r="C26" s="22" t="s">
        <v>2268</v>
      </c>
      <c r="D26" s="22" t="s">
        <v>358</v>
      </c>
      <c r="E26" s="22" t="s">
        <v>2269</v>
      </c>
      <c r="F26" s="22" t="s">
        <v>40</v>
      </c>
      <c r="G26" s="22" t="s">
        <v>449</v>
      </c>
      <c r="H26" s="22" t="s">
        <v>41</v>
      </c>
      <c r="I26" s="22" t="s">
        <v>44</v>
      </c>
      <c r="J26" s="22" t="s">
        <v>450</v>
      </c>
      <c r="K26" s="22" t="s">
        <v>1235</v>
      </c>
      <c r="L26" s="22" t="s">
        <v>2270</v>
      </c>
    </row>
    <row r="27" spans="1:12" ht="23.25">
      <c r="A27" s="13" t="s">
        <v>1935</v>
      </c>
      <c r="B27" s="13" t="s">
        <v>2271</v>
      </c>
      <c r="C27" s="12" t="s">
        <v>2272</v>
      </c>
      <c r="D27" s="12" t="s">
        <v>2273</v>
      </c>
      <c r="E27" s="12" t="s">
        <v>2274</v>
      </c>
      <c r="F27" s="13" t="s">
        <v>52</v>
      </c>
      <c r="G27" s="13" t="s">
        <v>460</v>
      </c>
      <c r="H27" s="13" t="s">
        <v>107</v>
      </c>
      <c r="I27" s="13" t="s">
        <v>54</v>
      </c>
      <c r="J27" s="13" t="s">
        <v>468</v>
      </c>
      <c r="K27" s="13" t="s">
        <v>20</v>
      </c>
      <c r="L27" s="12" t="s">
        <v>2275</v>
      </c>
    </row>
    <row r="28" spans="1:12">
      <c r="A28" s="13" t="s">
        <v>1942</v>
      </c>
      <c r="B28" s="13" t="s">
        <v>210</v>
      </c>
      <c r="C28" s="12" t="s">
        <v>2276</v>
      </c>
      <c r="D28" s="12" t="s">
        <v>2277</v>
      </c>
      <c r="E28" s="12" t="s">
        <v>210</v>
      </c>
      <c r="F28" s="13" t="s">
        <v>52</v>
      </c>
      <c r="G28" s="13" t="s">
        <v>460</v>
      </c>
      <c r="H28" s="13" t="s">
        <v>69</v>
      </c>
      <c r="I28" s="13" t="s">
        <v>54</v>
      </c>
      <c r="J28" s="13"/>
      <c r="K28" s="13" t="s">
        <v>20</v>
      </c>
      <c r="L28" s="12"/>
    </row>
    <row r="29" spans="1:12">
      <c r="A29" s="13" t="s">
        <v>1947</v>
      </c>
      <c r="B29" s="13" t="s">
        <v>210</v>
      </c>
      <c r="C29" s="12" t="s">
        <v>2278</v>
      </c>
      <c r="D29" s="12" t="s">
        <v>2279</v>
      </c>
      <c r="E29" s="12" t="s">
        <v>210</v>
      </c>
      <c r="F29" s="13" t="s">
        <v>52</v>
      </c>
      <c r="G29" s="13" t="s">
        <v>460</v>
      </c>
      <c r="H29" s="13" t="s">
        <v>69</v>
      </c>
      <c r="I29" s="13" t="s">
        <v>54</v>
      </c>
      <c r="J29" s="13" t="s">
        <v>2280</v>
      </c>
      <c r="K29" s="13" t="s">
        <v>28</v>
      </c>
      <c r="L29" s="12"/>
    </row>
    <row r="30" spans="1:12" ht="34.9">
      <c r="A30" s="13" t="s">
        <v>1952</v>
      </c>
      <c r="B30" s="13" t="s">
        <v>210</v>
      </c>
      <c r="C30" s="12" t="s">
        <v>2281</v>
      </c>
      <c r="D30" s="12" t="s">
        <v>2282</v>
      </c>
      <c r="E30" s="12" t="s">
        <v>210</v>
      </c>
      <c r="F30" s="13" t="s">
        <v>52</v>
      </c>
      <c r="G30" s="13" t="s">
        <v>460</v>
      </c>
      <c r="H30" s="13" t="s">
        <v>69</v>
      </c>
      <c r="I30" s="13" t="s">
        <v>220</v>
      </c>
      <c r="J30" s="13" t="s">
        <v>2283</v>
      </c>
      <c r="K30" s="13" t="s">
        <v>28</v>
      </c>
      <c r="L30" s="12"/>
    </row>
    <row r="31" spans="1:12">
      <c r="A31" s="13" t="s">
        <v>1957</v>
      </c>
      <c r="B31" s="13" t="s">
        <v>210</v>
      </c>
      <c r="C31" s="12" t="s">
        <v>2284</v>
      </c>
      <c r="D31" s="12" t="s">
        <v>2285</v>
      </c>
      <c r="E31" s="12" t="s">
        <v>210</v>
      </c>
      <c r="F31" s="13" t="s">
        <v>52</v>
      </c>
      <c r="G31" s="13" t="s">
        <v>460</v>
      </c>
      <c r="H31" s="13" t="s">
        <v>69</v>
      </c>
      <c r="I31" s="13" t="s">
        <v>220</v>
      </c>
      <c r="J31" s="13" t="s">
        <v>2286</v>
      </c>
      <c r="K31" s="13" t="s">
        <v>28</v>
      </c>
      <c r="L31" s="12"/>
    </row>
    <row r="32" spans="1:12">
      <c r="A32" s="13" t="s">
        <v>1962</v>
      </c>
      <c r="B32" s="13" t="s">
        <v>210</v>
      </c>
      <c r="C32" s="12" t="s">
        <v>2287</v>
      </c>
      <c r="D32" s="12" t="s">
        <v>2288</v>
      </c>
      <c r="E32" s="12" t="s">
        <v>210</v>
      </c>
      <c r="F32" s="13" t="s">
        <v>76</v>
      </c>
      <c r="G32" s="13" t="s">
        <v>460</v>
      </c>
      <c r="H32" s="13" t="s">
        <v>69</v>
      </c>
      <c r="I32" s="13" t="s">
        <v>627</v>
      </c>
      <c r="J32" s="13" t="s">
        <v>1978</v>
      </c>
      <c r="K32" s="13" t="s">
        <v>30</v>
      </c>
      <c r="L32" s="12"/>
    </row>
    <row r="33" spans="1:12">
      <c r="A33" s="13" t="s">
        <v>1967</v>
      </c>
      <c r="B33" s="13" t="s">
        <v>2178</v>
      </c>
      <c r="C33" s="12" t="s">
        <v>2289</v>
      </c>
      <c r="D33" s="12" t="s">
        <v>2290</v>
      </c>
      <c r="E33" s="12" t="s">
        <v>2291</v>
      </c>
      <c r="F33" s="13" t="s">
        <v>52</v>
      </c>
      <c r="G33" s="13" t="s">
        <v>460</v>
      </c>
      <c r="H33" s="13" t="s">
        <v>7</v>
      </c>
      <c r="I33" s="13" t="s">
        <v>54</v>
      </c>
      <c r="J33" s="13"/>
      <c r="K33" s="13" t="s">
        <v>20</v>
      </c>
      <c r="L33" s="12"/>
    </row>
    <row r="34" spans="1:12">
      <c r="A34" s="13" t="s">
        <v>1971</v>
      </c>
      <c r="B34" s="13" t="s">
        <v>2178</v>
      </c>
      <c r="C34" s="12" t="s">
        <v>2292</v>
      </c>
      <c r="D34" s="12" t="s">
        <v>2293</v>
      </c>
      <c r="E34" s="12" t="s">
        <v>2178</v>
      </c>
      <c r="F34" s="13" t="s">
        <v>52</v>
      </c>
      <c r="G34" s="13" t="s">
        <v>460</v>
      </c>
      <c r="H34" s="13" t="s">
        <v>2294</v>
      </c>
      <c r="I34" s="13" t="s">
        <v>220</v>
      </c>
      <c r="J34" s="13" t="s">
        <v>468</v>
      </c>
      <c r="K34" s="13" t="s">
        <v>28</v>
      </c>
      <c r="L34" s="12"/>
    </row>
    <row r="35" spans="1:12" ht="23.25">
      <c r="A35" s="13" t="s">
        <v>1976</v>
      </c>
      <c r="B35" s="13" t="s">
        <v>2178</v>
      </c>
      <c r="C35" s="12" t="s">
        <v>2295</v>
      </c>
      <c r="D35" s="12" t="s">
        <v>2296</v>
      </c>
      <c r="E35" s="12" t="s">
        <v>2178</v>
      </c>
      <c r="F35" s="13" t="s">
        <v>52</v>
      </c>
      <c r="G35" s="13" t="s">
        <v>460</v>
      </c>
      <c r="H35" s="13" t="s">
        <v>69</v>
      </c>
      <c r="I35" s="13" t="s">
        <v>627</v>
      </c>
      <c r="J35" s="13" t="s">
        <v>2297</v>
      </c>
      <c r="K35" s="13" t="s">
        <v>30</v>
      </c>
      <c r="L35" s="12"/>
    </row>
    <row r="36" spans="1:12">
      <c r="A36" s="13" t="s">
        <v>1981</v>
      </c>
      <c r="B36" s="13" t="s">
        <v>2178</v>
      </c>
      <c r="C36" s="12" t="s">
        <v>2298</v>
      </c>
      <c r="D36" s="12" t="s">
        <v>2299</v>
      </c>
      <c r="E36" s="12" t="s">
        <v>2178</v>
      </c>
      <c r="F36" s="13" t="s">
        <v>52</v>
      </c>
      <c r="G36" s="13" t="s">
        <v>460</v>
      </c>
      <c r="H36" s="13" t="s">
        <v>69</v>
      </c>
      <c r="I36" s="13" t="s">
        <v>220</v>
      </c>
      <c r="J36" s="13" t="s">
        <v>500</v>
      </c>
      <c r="K36" s="13" t="s">
        <v>30</v>
      </c>
      <c r="L36" s="12"/>
    </row>
    <row r="37" spans="1:12">
      <c r="A37" s="13" t="s">
        <v>1986</v>
      </c>
      <c r="B37" s="13" t="s">
        <v>2300</v>
      </c>
      <c r="C37" s="12" t="s">
        <v>2301</v>
      </c>
      <c r="D37" s="12" t="s">
        <v>2302</v>
      </c>
      <c r="E37" s="12" t="s">
        <v>2303</v>
      </c>
      <c r="F37" s="13" t="s">
        <v>52</v>
      </c>
      <c r="G37" s="13" t="s">
        <v>460</v>
      </c>
      <c r="H37" s="13" t="s">
        <v>69</v>
      </c>
      <c r="I37" s="13" t="s">
        <v>627</v>
      </c>
      <c r="J37" s="13" t="s">
        <v>2271</v>
      </c>
      <c r="K37" s="13" t="s">
        <v>28</v>
      </c>
      <c r="L37" s="12"/>
    </row>
    <row r="38" spans="1:12">
      <c r="A38" s="13" t="s">
        <v>1991</v>
      </c>
      <c r="B38" s="13" t="s">
        <v>2300</v>
      </c>
      <c r="C38" s="12" t="s">
        <v>2304</v>
      </c>
      <c r="D38" s="12" t="s">
        <v>2305</v>
      </c>
      <c r="E38" s="12" t="s">
        <v>2303</v>
      </c>
      <c r="F38" s="13" t="s">
        <v>52</v>
      </c>
      <c r="G38" s="13" t="s">
        <v>460</v>
      </c>
      <c r="H38" s="13" t="s">
        <v>69</v>
      </c>
      <c r="I38" s="13" t="s">
        <v>220</v>
      </c>
      <c r="J38" s="13" t="s">
        <v>2306</v>
      </c>
      <c r="K38" s="13" t="s">
        <v>28</v>
      </c>
      <c r="L38" s="12"/>
    </row>
    <row r="39" spans="1:12">
      <c r="A39" s="13" t="s">
        <v>2307</v>
      </c>
      <c r="B39" s="13" t="s">
        <v>2300</v>
      </c>
      <c r="C39" s="12" t="s">
        <v>2308</v>
      </c>
      <c r="D39" s="12" t="s">
        <v>2309</v>
      </c>
      <c r="E39" s="12" t="s">
        <v>2310</v>
      </c>
      <c r="F39" s="13" t="s">
        <v>52</v>
      </c>
      <c r="G39" s="13" t="s">
        <v>460</v>
      </c>
      <c r="H39" s="13" t="s">
        <v>69</v>
      </c>
      <c r="I39" s="13" t="s">
        <v>54</v>
      </c>
      <c r="J39" s="13" t="s">
        <v>2311</v>
      </c>
      <c r="K39" s="13" t="s">
        <v>30</v>
      </c>
      <c r="L39" s="12"/>
    </row>
    <row r="40" spans="1:12">
      <c r="A40" s="13" t="s">
        <v>2312</v>
      </c>
      <c r="B40" s="13" t="s">
        <v>2300</v>
      </c>
      <c r="C40" s="12" t="s">
        <v>2313</v>
      </c>
      <c r="D40" s="12" t="s">
        <v>2314</v>
      </c>
      <c r="E40" s="12" t="s">
        <v>2315</v>
      </c>
      <c r="F40" s="13" t="s">
        <v>52</v>
      </c>
      <c r="G40" s="13" t="s">
        <v>460</v>
      </c>
      <c r="H40" s="13" t="s">
        <v>69</v>
      </c>
      <c r="I40" s="13" t="s">
        <v>220</v>
      </c>
      <c r="J40" s="13" t="s">
        <v>2316</v>
      </c>
      <c r="K40" s="13" t="s">
        <v>30</v>
      </c>
      <c r="L40" s="12"/>
    </row>
    <row r="41" spans="1:12">
      <c r="A41" s="13" t="s">
        <v>2317</v>
      </c>
      <c r="B41" s="13" t="s">
        <v>2300</v>
      </c>
      <c r="C41" s="12" t="s">
        <v>2318</v>
      </c>
      <c r="D41" s="12" t="s">
        <v>2319</v>
      </c>
      <c r="E41" s="12" t="s">
        <v>2303</v>
      </c>
      <c r="F41" s="13" t="s">
        <v>52</v>
      </c>
      <c r="G41" s="13" t="s">
        <v>460</v>
      </c>
      <c r="H41" s="13" t="s">
        <v>69</v>
      </c>
      <c r="I41" s="13" t="s">
        <v>220</v>
      </c>
      <c r="J41" s="13" t="s">
        <v>2320</v>
      </c>
      <c r="K41" s="13" t="s">
        <v>30</v>
      </c>
      <c r="L41" s="12"/>
    </row>
    <row r="42" spans="1:12">
      <c r="A42" s="13" t="s">
        <v>2321</v>
      </c>
      <c r="B42" s="13" t="s">
        <v>2300</v>
      </c>
      <c r="C42" s="12" t="s">
        <v>2322</v>
      </c>
      <c r="D42" s="12" t="s">
        <v>2323</v>
      </c>
      <c r="E42" s="12" t="s">
        <v>2303</v>
      </c>
      <c r="F42" s="13" t="s">
        <v>52</v>
      </c>
      <c r="G42" s="13" t="s">
        <v>460</v>
      </c>
      <c r="H42" s="13" t="s">
        <v>69</v>
      </c>
      <c r="I42" s="13" t="s">
        <v>220</v>
      </c>
      <c r="J42" s="13" t="s">
        <v>2324</v>
      </c>
      <c r="K42" s="13" t="s">
        <v>32</v>
      </c>
      <c r="L42" s="12"/>
    </row>
    <row r="43" spans="1:12">
      <c r="A43" s="13" t="s">
        <v>2325</v>
      </c>
      <c r="B43" s="13" t="s">
        <v>2326</v>
      </c>
      <c r="C43" s="12" t="s">
        <v>2327</v>
      </c>
      <c r="D43" s="12" t="s">
        <v>2328</v>
      </c>
      <c r="E43" s="12" t="s">
        <v>2329</v>
      </c>
      <c r="F43" s="13" t="s">
        <v>52</v>
      </c>
      <c r="G43" s="13" t="s">
        <v>460</v>
      </c>
      <c r="H43" s="13" t="s">
        <v>69</v>
      </c>
      <c r="I43" s="13" t="s">
        <v>220</v>
      </c>
      <c r="J43" s="13" t="s">
        <v>2330</v>
      </c>
      <c r="K43" s="13" t="s">
        <v>30</v>
      </c>
      <c r="L43" s="12"/>
    </row>
    <row r="44" spans="1:12">
      <c r="A44" s="13" t="s">
        <v>2331</v>
      </c>
      <c r="B44" s="13" t="s">
        <v>66</v>
      </c>
      <c r="C44" s="12" t="s">
        <v>2332</v>
      </c>
      <c r="D44" s="12" t="s">
        <v>2333</v>
      </c>
      <c r="E44" s="12" t="s">
        <v>2334</v>
      </c>
      <c r="F44" s="13" t="s">
        <v>52</v>
      </c>
      <c r="G44" s="13" t="s">
        <v>460</v>
      </c>
      <c r="H44" s="13" t="s">
        <v>107</v>
      </c>
      <c r="I44" s="13" t="s">
        <v>627</v>
      </c>
      <c r="J44" s="13"/>
      <c r="K44" s="13" t="s">
        <v>26</v>
      </c>
      <c r="L44" s="12"/>
    </row>
    <row r="45" spans="1:12" ht="23.25">
      <c r="A45" s="13" t="s">
        <v>2335</v>
      </c>
      <c r="B45" s="13" t="s">
        <v>66</v>
      </c>
      <c r="C45" s="12" t="s">
        <v>2336</v>
      </c>
      <c r="D45" s="12" t="s">
        <v>2337</v>
      </c>
      <c r="E45" s="12" t="s">
        <v>2334</v>
      </c>
      <c r="F45" s="13" t="s">
        <v>52</v>
      </c>
      <c r="G45" s="13" t="s">
        <v>460</v>
      </c>
      <c r="H45" s="13" t="s">
        <v>107</v>
      </c>
      <c r="I45" s="13" t="s">
        <v>627</v>
      </c>
      <c r="J45" s="13" t="s">
        <v>2338</v>
      </c>
      <c r="K45" s="13" t="s">
        <v>28</v>
      </c>
      <c r="L45" s="12"/>
    </row>
    <row r="46" spans="1:12">
      <c r="A46" s="13" t="s">
        <v>2339</v>
      </c>
      <c r="B46" s="13" t="s">
        <v>66</v>
      </c>
      <c r="C46" s="12" t="s">
        <v>2340</v>
      </c>
      <c r="D46" s="12" t="s">
        <v>2341</v>
      </c>
      <c r="E46" s="12" t="s">
        <v>2334</v>
      </c>
      <c r="F46" s="13" t="s">
        <v>52</v>
      </c>
      <c r="G46" s="13" t="s">
        <v>460</v>
      </c>
      <c r="H46" s="13" t="s">
        <v>69</v>
      </c>
      <c r="I46" s="13" t="s">
        <v>627</v>
      </c>
      <c r="J46" s="13" t="s">
        <v>2342</v>
      </c>
      <c r="K46" s="13" t="s">
        <v>28</v>
      </c>
      <c r="L46" s="12"/>
    </row>
    <row r="47" spans="1:12">
      <c r="A47" s="13" t="s">
        <v>2343</v>
      </c>
      <c r="B47" s="13" t="s">
        <v>66</v>
      </c>
      <c r="C47" s="12" t="s">
        <v>2344</v>
      </c>
      <c r="D47" s="12" t="s">
        <v>2345</v>
      </c>
      <c r="E47" s="12" t="s">
        <v>66</v>
      </c>
      <c r="F47" s="13" t="s">
        <v>52</v>
      </c>
      <c r="G47" s="13" t="s">
        <v>460</v>
      </c>
      <c r="H47" s="13" t="s">
        <v>69</v>
      </c>
      <c r="I47" s="13" t="s">
        <v>54</v>
      </c>
      <c r="J47" s="13" t="s">
        <v>2346</v>
      </c>
      <c r="K47" s="13" t="s">
        <v>32</v>
      </c>
      <c r="L47" s="12"/>
    </row>
    <row r="48" spans="1:12">
      <c r="A48" s="13" t="s">
        <v>2347</v>
      </c>
      <c r="B48" s="13" t="s">
        <v>2208</v>
      </c>
      <c r="C48" s="12" t="s">
        <v>2348</v>
      </c>
      <c r="D48" s="12" t="s">
        <v>2349</v>
      </c>
      <c r="E48" s="12" t="s">
        <v>2315</v>
      </c>
      <c r="F48" s="13" t="s">
        <v>52</v>
      </c>
      <c r="G48" s="13" t="s">
        <v>460</v>
      </c>
      <c r="H48" s="13" t="s">
        <v>69</v>
      </c>
      <c r="I48" s="13" t="s">
        <v>627</v>
      </c>
      <c r="J48" s="13" t="s">
        <v>2350</v>
      </c>
      <c r="K48" s="13" t="s">
        <v>28</v>
      </c>
      <c r="L48" s="12"/>
    </row>
    <row r="49" spans="1:12">
      <c r="A49" s="13" t="s">
        <v>2351</v>
      </c>
      <c r="B49" s="13" t="s">
        <v>2208</v>
      </c>
      <c r="C49" s="12" t="s">
        <v>2352</v>
      </c>
      <c r="D49" s="12" t="s">
        <v>2353</v>
      </c>
      <c r="E49" s="12" t="s">
        <v>2354</v>
      </c>
      <c r="F49" s="13" t="s">
        <v>52</v>
      </c>
      <c r="G49" s="13" t="s">
        <v>460</v>
      </c>
      <c r="H49" s="13" t="s">
        <v>69</v>
      </c>
      <c r="I49" s="13" t="s">
        <v>220</v>
      </c>
      <c r="J49" s="13" t="s">
        <v>2316</v>
      </c>
      <c r="K49" s="13" t="s">
        <v>28</v>
      </c>
      <c r="L49" s="12"/>
    </row>
    <row r="50" spans="1:12">
      <c r="A50" s="13" t="s">
        <v>2355</v>
      </c>
      <c r="B50" s="13" t="s">
        <v>2356</v>
      </c>
      <c r="C50" s="12" t="s">
        <v>2357</v>
      </c>
      <c r="D50" s="12" t="s">
        <v>2358</v>
      </c>
      <c r="E50" s="12" t="s">
        <v>2359</v>
      </c>
      <c r="F50" s="13" t="s">
        <v>52</v>
      </c>
      <c r="G50" s="13" t="s">
        <v>460</v>
      </c>
      <c r="H50" s="13" t="s">
        <v>69</v>
      </c>
      <c r="I50" s="13" t="s">
        <v>220</v>
      </c>
      <c r="J50" s="13" t="s">
        <v>2306</v>
      </c>
      <c r="K50" s="13" t="s">
        <v>28</v>
      </c>
      <c r="L50" s="12"/>
    </row>
    <row r="51" spans="1:12">
      <c r="A51" s="13" t="s">
        <v>2360</v>
      </c>
      <c r="B51" s="13" t="s">
        <v>2356</v>
      </c>
      <c r="C51" s="12" t="s">
        <v>2361</v>
      </c>
      <c r="D51" s="12" t="s">
        <v>2362</v>
      </c>
      <c r="E51" s="12" t="s">
        <v>2363</v>
      </c>
      <c r="F51" s="13" t="s">
        <v>76</v>
      </c>
      <c r="G51" s="13" t="s">
        <v>540</v>
      </c>
      <c r="H51" s="13" t="s">
        <v>69</v>
      </c>
      <c r="I51" s="13" t="s">
        <v>627</v>
      </c>
      <c r="J51" s="13" t="s">
        <v>1065</v>
      </c>
      <c r="K51" s="13" t="s">
        <v>30</v>
      </c>
      <c r="L51" s="12"/>
    </row>
    <row r="52" spans="1:12">
      <c r="A52" s="13" t="s">
        <v>2364</v>
      </c>
      <c r="B52" s="13" t="s">
        <v>2129</v>
      </c>
      <c r="C52" s="12" t="s">
        <v>2365</v>
      </c>
      <c r="D52" s="12" t="s">
        <v>2366</v>
      </c>
      <c r="E52" s="12" t="s">
        <v>2367</v>
      </c>
      <c r="F52" s="13" t="s">
        <v>52</v>
      </c>
      <c r="G52" s="13" t="s">
        <v>460</v>
      </c>
      <c r="H52" s="13" t="s">
        <v>69</v>
      </c>
      <c r="I52" s="13" t="s">
        <v>627</v>
      </c>
      <c r="J52" s="13"/>
      <c r="K52" s="13" t="s">
        <v>30</v>
      </c>
      <c r="L52" s="12"/>
    </row>
    <row r="53" spans="1:12">
      <c r="A53" s="13" t="s">
        <v>2368</v>
      </c>
      <c r="B53" s="13" t="s">
        <v>2129</v>
      </c>
      <c r="C53" s="12" t="s">
        <v>2369</v>
      </c>
      <c r="D53" s="12" t="s">
        <v>2370</v>
      </c>
      <c r="E53" s="12" t="s">
        <v>2371</v>
      </c>
      <c r="F53" s="13" t="s">
        <v>76</v>
      </c>
      <c r="G53" s="13" t="s">
        <v>540</v>
      </c>
      <c r="H53" s="13" t="s">
        <v>69</v>
      </c>
      <c r="I53" s="13" t="s">
        <v>220</v>
      </c>
      <c r="J53" s="13" t="s">
        <v>2372</v>
      </c>
      <c r="K53" s="13" t="s">
        <v>30</v>
      </c>
      <c r="L53" s="12"/>
    </row>
    <row r="54" spans="1:12">
      <c r="A54" s="13" t="s">
        <v>2373</v>
      </c>
      <c r="B54" s="13" t="s">
        <v>396</v>
      </c>
      <c r="C54" s="12" t="s">
        <v>2374</v>
      </c>
      <c r="D54" s="12" t="s">
        <v>2375</v>
      </c>
      <c r="E54" s="12" t="s">
        <v>210</v>
      </c>
      <c r="F54" s="13" t="s">
        <v>52</v>
      </c>
      <c r="G54" s="13" t="s">
        <v>460</v>
      </c>
      <c r="H54" s="13" t="s">
        <v>69</v>
      </c>
      <c r="I54" s="13" t="s">
        <v>627</v>
      </c>
      <c r="J54" s="13" t="s">
        <v>2376</v>
      </c>
      <c r="K54" s="13" t="s">
        <v>30</v>
      </c>
      <c r="L54" s="12"/>
    </row>
    <row r="55" spans="1:12" ht="23.25">
      <c r="A55" s="13" t="s">
        <v>2377</v>
      </c>
      <c r="B55" s="13" t="s">
        <v>2378</v>
      </c>
      <c r="C55" s="12" t="s">
        <v>2379</v>
      </c>
      <c r="D55" s="12" t="s">
        <v>2380</v>
      </c>
      <c r="E55" s="12" t="s">
        <v>2381</v>
      </c>
      <c r="F55" s="13" t="s">
        <v>52</v>
      </c>
      <c r="G55" s="13" t="s">
        <v>460</v>
      </c>
      <c r="H55" s="13" t="s">
        <v>69</v>
      </c>
      <c r="I55" s="13" t="s">
        <v>461</v>
      </c>
      <c r="J55" s="13" t="s">
        <v>2382</v>
      </c>
      <c r="K55" s="13" t="s">
        <v>30</v>
      </c>
      <c r="L55" s="12"/>
    </row>
    <row r="56" spans="1:12">
      <c r="A56" s="13" t="s">
        <v>2383</v>
      </c>
      <c r="B56" s="13" t="s">
        <v>2378</v>
      </c>
      <c r="C56" s="12" t="s">
        <v>2384</v>
      </c>
      <c r="D56" s="12" t="s">
        <v>2385</v>
      </c>
      <c r="E56" s="12" t="s">
        <v>2255</v>
      </c>
      <c r="F56" s="13" t="s">
        <v>52</v>
      </c>
      <c r="G56" s="13" t="s">
        <v>460</v>
      </c>
      <c r="H56" s="13" t="s">
        <v>69</v>
      </c>
      <c r="I56" s="13" t="s">
        <v>220</v>
      </c>
      <c r="J56" s="13" t="s">
        <v>2386</v>
      </c>
      <c r="K56" s="13" t="s">
        <v>30</v>
      </c>
      <c r="L56" s="12"/>
    </row>
    <row r="57" spans="1:12">
      <c r="A57" s="13" t="s">
        <v>2387</v>
      </c>
      <c r="B57" s="13" t="s">
        <v>2378</v>
      </c>
      <c r="C57" s="12" t="s">
        <v>2388</v>
      </c>
      <c r="D57" s="12" t="s">
        <v>2389</v>
      </c>
      <c r="E57" s="12" t="s">
        <v>2381</v>
      </c>
      <c r="F57" s="13" t="s">
        <v>52</v>
      </c>
      <c r="G57" s="13" t="s">
        <v>460</v>
      </c>
      <c r="H57" s="13" t="s">
        <v>69</v>
      </c>
      <c r="I57" s="13" t="s">
        <v>461</v>
      </c>
      <c r="J57" s="13" t="s">
        <v>1221</v>
      </c>
      <c r="K57" s="13" t="s">
        <v>32</v>
      </c>
      <c r="L57" s="12"/>
    </row>
    <row r="58" spans="1:12" ht="23.25">
      <c r="A58" s="13" t="s">
        <v>2390</v>
      </c>
      <c r="B58" s="13" t="s">
        <v>2378</v>
      </c>
      <c r="C58" s="12" t="s">
        <v>1217</v>
      </c>
      <c r="D58" s="12" t="s">
        <v>2391</v>
      </c>
      <c r="E58" s="12" t="s">
        <v>1978</v>
      </c>
      <c r="F58" s="13" t="s">
        <v>52</v>
      </c>
      <c r="G58" s="13" t="s">
        <v>460</v>
      </c>
      <c r="H58" s="13" t="s">
        <v>69</v>
      </c>
      <c r="I58" s="13" t="s">
        <v>461</v>
      </c>
      <c r="J58" s="13" t="s">
        <v>2392</v>
      </c>
      <c r="K58" s="13" t="s">
        <v>32</v>
      </c>
      <c r="L58" s="12"/>
    </row>
    <row r="59" spans="1:12" ht="23.25">
      <c r="A59" s="13" t="s">
        <v>2393</v>
      </c>
      <c r="B59" s="13" t="s">
        <v>2378</v>
      </c>
      <c r="C59" s="12" t="s">
        <v>2394</v>
      </c>
      <c r="D59" s="12" t="s">
        <v>2395</v>
      </c>
      <c r="E59" s="12" t="s">
        <v>2381</v>
      </c>
      <c r="F59" s="13" t="s">
        <v>52</v>
      </c>
      <c r="G59" s="13" t="s">
        <v>460</v>
      </c>
      <c r="H59" s="13" t="s">
        <v>69</v>
      </c>
      <c r="I59" s="13" t="s">
        <v>461</v>
      </c>
      <c r="J59" s="13" t="s">
        <v>2396</v>
      </c>
      <c r="K59" s="13" t="s">
        <v>30</v>
      </c>
      <c r="L59" s="12"/>
    </row>
    <row r="60" spans="1:12">
      <c r="A60" s="13" t="s">
        <v>2397</v>
      </c>
      <c r="B60" s="13" t="s">
        <v>2378</v>
      </c>
      <c r="C60" s="12" t="s">
        <v>2398</v>
      </c>
      <c r="D60" s="12" t="s">
        <v>2399</v>
      </c>
      <c r="E60" s="12" t="s">
        <v>2381</v>
      </c>
      <c r="F60" s="13" t="s">
        <v>52</v>
      </c>
      <c r="G60" s="13" t="s">
        <v>460</v>
      </c>
      <c r="H60" s="13" t="s">
        <v>69</v>
      </c>
      <c r="I60" s="13" t="s">
        <v>54</v>
      </c>
      <c r="J60" s="13" t="s">
        <v>2392</v>
      </c>
      <c r="K60" s="13" t="s">
        <v>32</v>
      </c>
      <c r="L60" s="12"/>
    </row>
    <row r="62" spans="1:12" ht="6" customHeight="1">
      <c r="A62" s="46" t="s">
        <v>2400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7.5" customHeight="1">
      <c r="A63" s="22" t="s">
        <v>2401</v>
      </c>
      <c r="B63" s="22" t="s">
        <v>2402</v>
      </c>
      <c r="C63" s="22" t="s">
        <v>2403</v>
      </c>
      <c r="D63" s="22" t="s">
        <v>2404</v>
      </c>
      <c r="E63" s="22" t="s">
        <v>2238</v>
      </c>
      <c r="F63" s="22" t="s">
        <v>2405</v>
      </c>
    </row>
    <row r="64" spans="1:12" ht="23.25">
      <c r="A64" s="12" t="s">
        <v>2406</v>
      </c>
      <c r="B64" s="12" t="s">
        <v>2407</v>
      </c>
      <c r="C64" s="12" t="s">
        <v>2178</v>
      </c>
      <c r="D64" s="12" t="s">
        <v>540</v>
      </c>
      <c r="E64" s="12" t="s">
        <v>1954</v>
      </c>
      <c r="F64" s="12" t="s">
        <v>2408</v>
      </c>
    </row>
    <row r="65" spans="1:6">
      <c r="A65" s="12" t="s">
        <v>210</v>
      </c>
      <c r="B65" s="12" t="s">
        <v>2409</v>
      </c>
      <c r="C65" s="12" t="s">
        <v>2410</v>
      </c>
      <c r="D65" s="12" t="s">
        <v>540</v>
      </c>
      <c r="E65" s="12" t="s">
        <v>2381</v>
      </c>
      <c r="F65" s="12" t="s">
        <v>2411</v>
      </c>
    </row>
    <row r="66" spans="1:6" ht="23.25">
      <c r="A66" s="12" t="s">
        <v>210</v>
      </c>
      <c r="B66" s="12" t="s">
        <v>2412</v>
      </c>
      <c r="C66" s="12" t="s">
        <v>2406</v>
      </c>
      <c r="D66" s="12" t="s">
        <v>540</v>
      </c>
      <c r="E66" s="12" t="s">
        <v>2381</v>
      </c>
      <c r="F66" s="12" t="s">
        <v>2413</v>
      </c>
    </row>
    <row r="67" spans="1:6" ht="23.25">
      <c r="A67" s="12" t="s">
        <v>210</v>
      </c>
      <c r="B67" s="12" t="s">
        <v>2414</v>
      </c>
      <c r="C67" s="12" t="s">
        <v>2354</v>
      </c>
      <c r="D67" s="12" t="s">
        <v>460</v>
      </c>
      <c r="E67" s="12" t="s">
        <v>2381</v>
      </c>
      <c r="F67" s="12" t="s">
        <v>2415</v>
      </c>
    </row>
    <row r="68" spans="1:6" ht="23.25">
      <c r="A68" s="12" t="s">
        <v>2416</v>
      </c>
      <c r="B68" s="12" t="s">
        <v>2417</v>
      </c>
      <c r="C68" s="12" t="s">
        <v>2418</v>
      </c>
      <c r="D68" s="12" t="s">
        <v>460</v>
      </c>
      <c r="E68" s="12" t="s">
        <v>2381</v>
      </c>
      <c r="F68" s="12" t="s">
        <v>2419</v>
      </c>
    </row>
    <row r="69" spans="1:6" ht="23.25">
      <c r="A69" s="12" t="s">
        <v>2208</v>
      </c>
      <c r="B69" s="12" t="s">
        <v>2420</v>
      </c>
      <c r="C69" s="12" t="s">
        <v>2354</v>
      </c>
      <c r="D69" s="12" t="s">
        <v>540</v>
      </c>
      <c r="E69" s="12" t="s">
        <v>2381</v>
      </c>
      <c r="F69" s="12" t="s">
        <v>2421</v>
      </c>
    </row>
    <row r="70" spans="1:6">
      <c r="A70" s="12" t="s">
        <v>2208</v>
      </c>
      <c r="B70" s="12" t="s">
        <v>2422</v>
      </c>
      <c r="C70" s="12" t="s">
        <v>2354</v>
      </c>
      <c r="D70" s="12" t="s">
        <v>540</v>
      </c>
      <c r="E70" s="12" t="s">
        <v>1954</v>
      </c>
      <c r="F70" s="12" t="s">
        <v>2423</v>
      </c>
    </row>
    <row r="71" spans="1:6">
      <c r="A71" s="12" t="s">
        <v>2208</v>
      </c>
      <c r="B71" s="12" t="s">
        <v>2424</v>
      </c>
      <c r="C71" s="12" t="s">
        <v>2354</v>
      </c>
      <c r="D71" s="12" t="s">
        <v>540</v>
      </c>
      <c r="E71" s="12" t="s">
        <v>1954</v>
      </c>
      <c r="F71" s="12" t="s">
        <v>2425</v>
      </c>
    </row>
    <row r="72" spans="1:6">
      <c r="A72" s="12" t="s">
        <v>2208</v>
      </c>
      <c r="B72" s="12" t="s">
        <v>2426</v>
      </c>
      <c r="C72" s="12" t="s">
        <v>2354</v>
      </c>
      <c r="D72" s="12" t="s">
        <v>460</v>
      </c>
      <c r="E72" s="12" t="s">
        <v>1954</v>
      </c>
      <c r="F72" s="12" t="s">
        <v>2427</v>
      </c>
    </row>
    <row r="73" spans="1:6">
      <c r="A73" s="12" t="s">
        <v>2208</v>
      </c>
      <c r="B73" s="12" t="s">
        <v>2428</v>
      </c>
      <c r="C73" s="12" t="s">
        <v>2354</v>
      </c>
      <c r="D73" s="12" t="s">
        <v>540</v>
      </c>
      <c r="E73" s="12" t="s">
        <v>2381</v>
      </c>
      <c r="F73" s="12" t="s">
        <v>2429</v>
      </c>
    </row>
    <row r="74" spans="1:6">
      <c r="A74" s="12" t="s">
        <v>2208</v>
      </c>
      <c r="B74" s="12" t="s">
        <v>2430</v>
      </c>
      <c r="C74" s="12" t="s">
        <v>2354</v>
      </c>
      <c r="D74" s="12" t="s">
        <v>540</v>
      </c>
      <c r="E74" s="12" t="s">
        <v>2381</v>
      </c>
      <c r="F74" s="12" t="s">
        <v>2431</v>
      </c>
    </row>
    <row r="75" spans="1:6">
      <c r="A75" s="12" t="s">
        <v>2208</v>
      </c>
      <c r="B75" s="12" t="s">
        <v>2432</v>
      </c>
      <c r="C75" s="12" t="s">
        <v>2354</v>
      </c>
      <c r="D75" s="12" t="s">
        <v>540</v>
      </c>
      <c r="E75" s="12" t="s">
        <v>1954</v>
      </c>
      <c r="F75" s="12" t="s">
        <v>2433</v>
      </c>
    </row>
    <row r="76" spans="1:6" ht="23.25">
      <c r="A76" s="12" t="s">
        <v>2208</v>
      </c>
      <c r="B76" s="12" t="s">
        <v>2434</v>
      </c>
      <c r="C76" s="12" t="s">
        <v>2354</v>
      </c>
      <c r="D76" s="12" t="s">
        <v>540</v>
      </c>
      <c r="E76" s="12" t="s">
        <v>1954</v>
      </c>
      <c r="F76" s="12" t="s">
        <v>2435</v>
      </c>
    </row>
    <row r="77" spans="1:6">
      <c r="A77" s="12" t="s">
        <v>66</v>
      </c>
      <c r="B77" s="12" t="s">
        <v>2436</v>
      </c>
      <c r="C77" s="12" t="s">
        <v>2354</v>
      </c>
      <c r="D77" s="12" t="s">
        <v>460</v>
      </c>
      <c r="E77" s="12" t="s">
        <v>2437</v>
      </c>
      <c r="F77" s="12" t="s">
        <v>2438</v>
      </c>
    </row>
    <row r="78" spans="1:6" ht="23.25">
      <c r="A78" s="12" t="s">
        <v>66</v>
      </c>
      <c r="B78" s="12" t="s">
        <v>2439</v>
      </c>
      <c r="C78" s="12" t="s">
        <v>2354</v>
      </c>
      <c r="D78" s="12" t="s">
        <v>460</v>
      </c>
      <c r="E78" s="12" t="s">
        <v>2437</v>
      </c>
      <c r="F78" s="12" t="s">
        <v>2440</v>
      </c>
    </row>
    <row r="79" spans="1:6">
      <c r="A79" s="12" t="s">
        <v>66</v>
      </c>
      <c r="B79" s="12" t="s">
        <v>2441</v>
      </c>
      <c r="C79" s="12" t="s">
        <v>2354</v>
      </c>
      <c r="D79" s="12" t="s">
        <v>540</v>
      </c>
      <c r="E79" s="12" t="s">
        <v>2437</v>
      </c>
      <c r="F79" s="12" t="s">
        <v>2442</v>
      </c>
    </row>
    <row r="80" spans="1:6" ht="23.25">
      <c r="A80" s="12" t="s">
        <v>1478</v>
      </c>
      <c r="B80" s="12" t="s">
        <v>2443</v>
      </c>
      <c r="C80" s="12" t="s">
        <v>2354</v>
      </c>
      <c r="D80" s="12" t="s">
        <v>460</v>
      </c>
      <c r="E80" s="12" t="s">
        <v>1954</v>
      </c>
      <c r="F80" s="12" t="s">
        <v>2444</v>
      </c>
    </row>
    <row r="81" spans="1:6">
      <c r="A81" s="12" t="s">
        <v>2445</v>
      </c>
      <c r="B81" s="12" t="s">
        <v>2446</v>
      </c>
      <c r="C81" s="12" t="s">
        <v>2410</v>
      </c>
      <c r="D81" s="12" t="s">
        <v>2447</v>
      </c>
      <c r="E81" s="12" t="s">
        <v>1954</v>
      </c>
      <c r="F81" s="12" t="s">
        <v>1148</v>
      </c>
    </row>
    <row r="82" spans="1:6">
      <c r="A82" s="12" t="s">
        <v>2445</v>
      </c>
      <c r="B82" s="12" t="s">
        <v>2448</v>
      </c>
      <c r="C82" s="12" t="s">
        <v>2354</v>
      </c>
      <c r="D82" s="12" t="s">
        <v>460</v>
      </c>
      <c r="E82" s="12" t="s">
        <v>1954</v>
      </c>
      <c r="F82" s="12" t="s">
        <v>2449</v>
      </c>
    </row>
    <row r="83" spans="1:6">
      <c r="A83" s="12" t="s">
        <v>2450</v>
      </c>
      <c r="B83" s="12" t="s">
        <v>2451</v>
      </c>
      <c r="C83" s="12" t="s">
        <v>2452</v>
      </c>
      <c r="D83" s="12" t="s">
        <v>540</v>
      </c>
      <c r="E83" s="12" t="s">
        <v>1978</v>
      </c>
      <c r="F83" s="12" t="s">
        <v>2453</v>
      </c>
    </row>
  </sheetData>
  <mergeCells count="6">
    <mergeCell ref="A62:L62"/>
    <mergeCell ref="A1:L1"/>
    <mergeCell ref="A3:L3"/>
    <mergeCell ref="A5:L5"/>
    <mergeCell ref="A18:L18"/>
    <mergeCell ref="A25:L25"/>
  </mergeCells>
  <phoneticPr fontId="22" type="noConversion"/>
  <conditionalFormatting sqref="F27:F60">
    <cfRule type="expression" dxfId="17" priority="1">
      <formula>F27="P0"</formula>
    </cfRule>
    <cfRule type="expression" dxfId="16" priority="2">
      <formula>F27="P1"</formula>
    </cfRule>
    <cfRule type="expression" dxfId="15" priority="3">
      <formula>F27="P2"</formula>
    </cfRule>
  </conditionalFormatting>
  <conditionalFormatting sqref="H27:H60">
    <cfRule type="expression" dxfId="14" priority="4">
      <formula>H27="已完成"</formula>
    </cfRule>
    <cfRule type="expression" dxfId="13" priority="5">
      <formula>H27="进行中"</formula>
    </cfRule>
    <cfRule type="expression" dxfId="12" priority="6">
      <formula>H27="待审核"</formula>
    </cfRule>
    <cfRule type="expression" dxfId="11" priority="7">
      <formula>H27="已阻塞"</formula>
    </cfRule>
    <cfRule type="expression" dxfId="10" priority="8">
      <formula>H27="待确认"</formula>
    </cfRule>
    <cfRule type="expression" dxfId="9" priority="9">
      <formula>H27="未开始"</formula>
    </cfRule>
  </conditionalFormatting>
  <dataValidations count="3">
    <dataValidation type="list" sqref="F27:F60" xr:uid="{00000000-0002-0000-0700-000000000000}">
      <formula1>"P0,P1,P2"</formula1>
    </dataValidation>
    <dataValidation type="list" sqref="G27:G60" xr:uid="{00000000-0002-0000-0700-000001000000}">
      <formula1>"是,否"</formula1>
    </dataValidation>
    <dataValidation type="list" sqref="H27:H60" xr:uid="{00000000-0002-0000-0700-000002000000}">
      <formula1>"未开始,待确认,进行中,待审核,已完成,已阻塞,不适用"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"/>
  <sheetViews>
    <sheetView workbookViewId="0"/>
  </sheetViews>
  <sheetFormatPr defaultRowHeight="13.5"/>
  <cols>
    <col min="1" max="2" width="20" customWidth="1"/>
    <col min="3" max="3" width="12" customWidth="1"/>
    <col min="4" max="4" width="14" customWidth="1"/>
    <col min="5" max="5" width="16" customWidth="1"/>
    <col min="6" max="6" width="12" customWidth="1"/>
    <col min="7" max="7" width="3" customWidth="1"/>
    <col min="8" max="9" width="20" customWidth="1"/>
    <col min="10" max="10" width="12" customWidth="1"/>
    <col min="11" max="11" width="14" customWidth="1"/>
    <col min="12" max="12" width="16" customWidth="1"/>
  </cols>
  <sheetData>
    <row r="1" spans="1:12" ht="8.5500000000000007" customHeight="1">
      <c r="A1" s="44" t="s">
        <v>2454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1:12" ht="7.05" customHeight="1">
      <c r="A3" s="45" t="s">
        <v>2455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5" spans="1:12" ht="6" customHeight="1">
      <c r="A5" s="48" t="s">
        <v>2456</v>
      </c>
      <c r="B5" s="48"/>
      <c r="C5" s="48"/>
      <c r="D5" s="48" t="s">
        <v>2457</v>
      </c>
      <c r="E5" s="48"/>
      <c r="F5" s="48"/>
      <c r="G5" s="48" t="s">
        <v>2458</v>
      </c>
      <c r="H5" s="48"/>
      <c r="I5" s="48"/>
      <c r="J5" s="48" t="s">
        <v>2268</v>
      </c>
      <c r="K5" s="48"/>
      <c r="L5" s="48"/>
    </row>
    <row r="6" spans="1:12" ht="7.5" customHeight="1">
      <c r="A6" s="22" t="s">
        <v>2459</v>
      </c>
      <c r="B6" s="22" t="s">
        <v>7</v>
      </c>
      <c r="C6" s="22" t="s">
        <v>16</v>
      </c>
      <c r="D6" s="22" t="s">
        <v>2459</v>
      </c>
      <c r="E6" s="22" t="s">
        <v>2460</v>
      </c>
      <c r="F6" s="22" t="s">
        <v>2461</v>
      </c>
      <c r="G6" s="22" t="s">
        <v>2459</v>
      </c>
      <c r="H6" s="22" t="s">
        <v>2460</v>
      </c>
      <c r="I6" s="22" t="s">
        <v>2461</v>
      </c>
      <c r="J6" s="22" t="s">
        <v>2459</v>
      </c>
      <c r="K6" s="22" t="s">
        <v>7</v>
      </c>
      <c r="L6" s="22" t="s">
        <v>16</v>
      </c>
    </row>
    <row r="7" spans="1:12" ht="8" customHeight="1">
      <c r="A7" s="24">
        <f>COUNTA(开发进度!$D$5:$D$300)</f>
        <v>141</v>
      </c>
      <c r="B7" s="24">
        <f>COUNTIF(开发进度!$J$5:$J$300,"已完成")</f>
        <v>86</v>
      </c>
      <c r="C7" s="25">
        <f>IFERROR(AVERAGE(开发进度!$K$5:$K$300),0)</f>
        <v>0.7575539568345323</v>
      </c>
      <c r="D7" s="24">
        <f>COUNTA(测试进度!$A$5:$A$400)</f>
        <v>207</v>
      </c>
      <c r="E7" s="24">
        <f>COUNTIF(测试进度!$J$5:$J$400,"通过")</f>
        <v>0</v>
      </c>
      <c r="F7" s="25">
        <f>IFERROR(E7/D7,0)</f>
        <v>0</v>
      </c>
      <c r="G7" s="24">
        <f>COUNTA(模拟对局!$A$5:$A$100)</f>
        <v>35</v>
      </c>
      <c r="H7" s="24">
        <f>COUNTIF(模拟对局!$H$5:$H$100,"通过")</f>
        <v>0</v>
      </c>
      <c r="I7" s="25">
        <f>IFERROR(H7/G7,0)</f>
        <v>0</v>
      </c>
      <c r="J7" s="24">
        <f>COUNTA(部署方案!$C$27:$C$60)</f>
        <v>34</v>
      </c>
      <c r="K7" s="24">
        <f>COUNTIF(部署方案!$H$27:$H$60,"已完成")</f>
        <v>1</v>
      </c>
      <c r="L7" s="25">
        <f>IFERROR(K7/J7,0)</f>
        <v>2.9411764705882353E-2</v>
      </c>
    </row>
    <row r="9" spans="1:12" ht="6" customHeight="1">
      <c r="A9" s="47" t="s">
        <v>2462</v>
      </c>
      <c r="B9" s="47"/>
      <c r="C9" s="47"/>
      <c r="D9" s="47"/>
      <c r="E9" s="47"/>
      <c r="F9" s="47"/>
      <c r="H9" s="47" t="s">
        <v>2463</v>
      </c>
      <c r="I9" s="47"/>
      <c r="J9" s="47"/>
      <c r="K9" s="47"/>
      <c r="L9" s="47"/>
    </row>
    <row r="10" spans="1:12" ht="7.5" customHeight="1">
      <c r="A10" s="22" t="s">
        <v>443</v>
      </c>
      <c r="B10" s="22" t="s">
        <v>14</v>
      </c>
      <c r="C10" s="22" t="s">
        <v>7</v>
      </c>
      <c r="D10" s="22" t="s">
        <v>15</v>
      </c>
      <c r="E10" s="22" t="s">
        <v>9</v>
      </c>
      <c r="F10" s="22" t="s">
        <v>16</v>
      </c>
      <c r="H10" s="22" t="s">
        <v>443</v>
      </c>
      <c r="I10" s="22" t="s">
        <v>2464</v>
      </c>
      <c r="J10" s="22" t="s">
        <v>2465</v>
      </c>
      <c r="K10" s="22" t="s">
        <v>2466</v>
      </c>
      <c r="L10" s="22" t="s">
        <v>2461</v>
      </c>
    </row>
    <row r="11" spans="1:12">
      <c r="A11" s="18" t="s">
        <v>454</v>
      </c>
      <c r="B11" s="18">
        <f>COUNTIF(开发进度!$B$5:$B$300,A11)</f>
        <v>8</v>
      </c>
      <c r="C11" s="18">
        <f>COUNTIFS(开发进度!$B$5:$B$300,A11,开发进度!$J$5:$J$300,"已完成")</f>
        <v>5</v>
      </c>
      <c r="D11" s="18">
        <f>COUNTIFS(开发进度!$B$5:$B$300,A11,开发进度!$J$5:$J$300,"进行中")+COUNTIFS(开发进度!$B$5:$B$300,A11,开发进度!$J$5:$J$300,"待审核")</f>
        <v>2</v>
      </c>
      <c r="E11" s="18">
        <f>COUNTIFS(开发进度!$B$5:$B$300,A11,开发进度!$J$5:$J$300,"已阻塞")</f>
        <v>0</v>
      </c>
      <c r="F11" s="20">
        <f>IFERROR(AVERAGEIF(开发进度!$B$5:$B$300,A11,开发进度!$K$5:$K$300),0)</f>
        <v>0.8571428571428571</v>
      </c>
      <c r="H11" s="18" t="s">
        <v>1242</v>
      </c>
      <c r="I11" s="18">
        <f>COUNTIF(测试进度!$C$5:$C$400,H11)</f>
        <v>25</v>
      </c>
      <c r="J11" s="18">
        <f>COUNTIFS(测试进度!$C$5:$C$400,H11,测试进度!$J$5:$J$400,"通过")</f>
        <v>0</v>
      </c>
      <c r="K11" s="18">
        <f>COUNTIFS(测试进度!$C$5:$C$400,H11,测试进度!$J$5:$J$400,"失败")+COUNTIFS(测试进度!$C$5:$C$400,H11,测试进度!$J$5:$J$400,"已阻塞")</f>
        <v>0</v>
      </c>
      <c r="L11" s="20">
        <f t="shared" ref="L11:L24" si="0">IFERROR(J11/I11,0)</f>
        <v>0</v>
      </c>
    </row>
    <row r="12" spans="1:12">
      <c r="A12" s="18" t="s">
        <v>506</v>
      </c>
      <c r="B12" s="18">
        <f>COUNTIF(开发进度!$B$5:$B$300,A12)</f>
        <v>10</v>
      </c>
      <c r="C12" s="18">
        <f>COUNTIFS(开发进度!$B$5:$B$300,A12,开发进度!$J$5:$J$300,"已完成")</f>
        <v>4</v>
      </c>
      <c r="D12" s="18">
        <f>COUNTIFS(开发进度!$B$5:$B$300,A12,开发进度!$J$5:$J$300,"进行中")+COUNTIFS(开发进度!$B$5:$B$300,A12,开发进度!$J$5:$J$300,"待审核")</f>
        <v>3</v>
      </c>
      <c r="E12" s="18">
        <f>COUNTIFS(开发进度!$B$5:$B$300,A12,开发进度!$J$5:$J$300,"已阻塞")</f>
        <v>0</v>
      </c>
      <c r="F12" s="20">
        <f>IFERROR(AVERAGEIF(开发进度!$B$5:$B$300,A12,开发进度!$K$5:$K$300),0)</f>
        <v>0.55000000000000004</v>
      </c>
      <c r="H12" s="18" t="s">
        <v>1355</v>
      </c>
      <c r="I12" s="18">
        <f>COUNTIF(测试进度!$C$5:$C$400,H12)</f>
        <v>18</v>
      </c>
      <c r="J12" s="18">
        <f>COUNTIFS(测试进度!$C$5:$C$400,H12,测试进度!$J$5:$J$400,"通过")</f>
        <v>0</v>
      </c>
      <c r="K12" s="18">
        <f>COUNTIFS(测试进度!$C$5:$C$400,H12,测试进度!$J$5:$J$400,"失败")+COUNTIFS(测试进度!$C$5:$C$400,H12,测试进度!$J$5:$J$400,"已阻塞")</f>
        <v>0</v>
      </c>
      <c r="L12" s="20">
        <f t="shared" si="0"/>
        <v>0</v>
      </c>
    </row>
    <row r="13" spans="1:12">
      <c r="A13" s="18" t="s">
        <v>568</v>
      </c>
      <c r="B13" s="18">
        <f>COUNTIF(开发进度!$B$5:$B$300,A13)</f>
        <v>9</v>
      </c>
      <c r="C13" s="18">
        <f>COUNTIFS(开发进度!$B$5:$B$300,A13,开发进度!$J$5:$J$300,"已完成")</f>
        <v>7</v>
      </c>
      <c r="D13" s="18">
        <f>COUNTIFS(开发进度!$B$5:$B$300,A13,开发进度!$J$5:$J$300,"进行中")+COUNTIFS(开发进度!$B$5:$B$300,A13,开发进度!$J$5:$J$300,"待审核")</f>
        <v>0</v>
      </c>
      <c r="E13" s="18">
        <f>COUNTIFS(开发进度!$B$5:$B$300,A13,开发进度!$J$5:$J$300,"已阻塞")</f>
        <v>0</v>
      </c>
      <c r="F13" s="20">
        <f>IFERROR(AVERAGEIF(开发进度!$B$5:$B$300,A13,开发进度!$K$5:$K$300),0)</f>
        <v>0.875</v>
      </c>
      <c r="H13" s="18" t="s">
        <v>1412</v>
      </c>
      <c r="I13" s="18">
        <f>COUNTIF(测试进度!$C$5:$C$400,H13)</f>
        <v>22</v>
      </c>
      <c r="J13" s="18">
        <f>COUNTIFS(测试进度!$C$5:$C$400,H13,测试进度!$J$5:$J$400,"通过")</f>
        <v>0</v>
      </c>
      <c r="K13" s="18">
        <f>COUNTIFS(测试进度!$C$5:$C$400,H13,测试进度!$J$5:$J$400,"失败")+COUNTIFS(测试进度!$C$5:$C$400,H13,测试进度!$J$5:$J$400,"已阻塞")</f>
        <v>0</v>
      </c>
      <c r="L13" s="20">
        <f t="shared" si="0"/>
        <v>0</v>
      </c>
    </row>
    <row r="14" spans="1:12">
      <c r="A14" s="18" t="s">
        <v>629</v>
      </c>
      <c r="B14" s="18">
        <f>COUNTIF(开发进度!$B$5:$B$300,A14)</f>
        <v>10</v>
      </c>
      <c r="C14" s="18">
        <f>COUNTIFS(开发进度!$B$5:$B$300,A14,开发进度!$J$5:$J$300,"已完成")</f>
        <v>9</v>
      </c>
      <c r="D14" s="18">
        <f>COUNTIFS(开发进度!$B$5:$B$300,A14,开发进度!$J$5:$J$300,"进行中")+COUNTIFS(开发进度!$B$5:$B$300,A14,开发进度!$J$5:$J$300,"待审核")</f>
        <v>1</v>
      </c>
      <c r="E14" s="18">
        <f>COUNTIFS(开发进度!$B$5:$B$300,A14,开发进度!$J$5:$J$300,"已阻塞")</f>
        <v>0</v>
      </c>
      <c r="F14" s="20">
        <f>IFERROR(AVERAGEIF(开发进度!$B$5:$B$300,A14,开发进度!$K$5:$K$300),0)</f>
        <v>0.95</v>
      </c>
      <c r="H14" s="18" t="s">
        <v>1479</v>
      </c>
      <c r="I14" s="18">
        <f>COUNTIF(测试进度!$C$5:$C$400,H14)</f>
        <v>10</v>
      </c>
      <c r="J14" s="18">
        <f>COUNTIFS(测试进度!$C$5:$C$400,H14,测试进度!$J$5:$J$400,"通过")</f>
        <v>0</v>
      </c>
      <c r="K14" s="18">
        <f>COUNTIFS(测试进度!$C$5:$C$400,H14,测试进度!$J$5:$J$400,"失败")+COUNTIFS(测试进度!$C$5:$C$400,H14,测试进度!$J$5:$J$400,"已阻塞")</f>
        <v>0</v>
      </c>
      <c r="L14" s="20">
        <f t="shared" si="0"/>
        <v>0</v>
      </c>
    </row>
    <row r="15" spans="1:12">
      <c r="A15" s="18" t="s">
        <v>697</v>
      </c>
      <c r="B15" s="18">
        <f>COUNTIF(开发进度!$B$5:$B$300,A15)</f>
        <v>14</v>
      </c>
      <c r="C15" s="18">
        <f>COUNTIFS(开发进度!$B$5:$B$300,A15,开发进度!$J$5:$J$300,"已完成")</f>
        <v>14</v>
      </c>
      <c r="D15" s="18">
        <f>COUNTIFS(开发进度!$B$5:$B$300,A15,开发进度!$J$5:$J$300,"进行中")+COUNTIFS(开发进度!$B$5:$B$300,A15,开发进度!$J$5:$J$300,"待审核")</f>
        <v>0</v>
      </c>
      <c r="E15" s="18">
        <f>COUNTIFS(开发进度!$B$5:$B$300,A15,开发进度!$J$5:$J$300,"已阻塞")</f>
        <v>0</v>
      </c>
      <c r="F15" s="20">
        <f>IFERROR(AVERAGEIF(开发进度!$B$5:$B$300,A15,开发进度!$K$5:$K$300),0)</f>
        <v>1</v>
      </c>
      <c r="H15" s="18" t="s">
        <v>1506</v>
      </c>
      <c r="I15" s="18">
        <f>COUNTIF(测试进度!$C$5:$C$400,H15)</f>
        <v>6</v>
      </c>
      <c r="J15" s="18">
        <f>COUNTIFS(测试进度!$C$5:$C$400,H15,测试进度!$J$5:$J$400,"通过")</f>
        <v>0</v>
      </c>
      <c r="K15" s="18">
        <f>COUNTIFS(测试进度!$C$5:$C$400,H15,测试进度!$J$5:$J$400,"失败")+COUNTIFS(测试进度!$C$5:$C$400,H15,测试进度!$J$5:$J$400,"已阻塞")</f>
        <v>0</v>
      </c>
      <c r="L15" s="20">
        <f t="shared" si="0"/>
        <v>0</v>
      </c>
    </row>
    <row r="16" spans="1:12">
      <c r="A16" s="18" t="s">
        <v>773</v>
      </c>
      <c r="B16" s="18">
        <f>COUNTIF(开发进度!$B$5:$B$300,A16)</f>
        <v>17</v>
      </c>
      <c r="C16" s="18">
        <f>COUNTIFS(开发进度!$B$5:$B$300,A16,开发进度!$J$5:$J$300,"已完成")</f>
        <v>1</v>
      </c>
      <c r="D16" s="18">
        <f>COUNTIFS(开发进度!$B$5:$B$300,A16,开发进度!$J$5:$J$300,"进行中")+COUNTIFS(开发进度!$B$5:$B$300,A16,开发进度!$J$5:$J$300,"待审核")</f>
        <v>16</v>
      </c>
      <c r="E16" s="18">
        <f>COUNTIFS(开发进度!$B$5:$B$300,A16,开发进度!$J$5:$J$300,"已阻塞")</f>
        <v>0</v>
      </c>
      <c r="F16" s="20">
        <f>IFERROR(AVERAGEIF(开发进度!$B$5:$B$300,A16,开发进度!$K$5:$K$300),0)</f>
        <v>0.88235294117647078</v>
      </c>
      <c r="H16" s="18" t="s">
        <v>1524</v>
      </c>
      <c r="I16" s="18">
        <f>COUNTIF(测试进度!$C$5:$C$400,H16)</f>
        <v>10</v>
      </c>
      <c r="J16" s="18">
        <f>COUNTIFS(测试进度!$C$5:$C$400,H16,测试进度!$J$5:$J$400,"通过")</f>
        <v>0</v>
      </c>
      <c r="K16" s="18">
        <f>COUNTIFS(测试进度!$C$5:$C$400,H16,测试进度!$J$5:$J$400,"失败")+COUNTIFS(测试进度!$C$5:$C$400,H16,测试进度!$J$5:$J$400,"已阻塞")</f>
        <v>0</v>
      </c>
      <c r="L16" s="20">
        <f t="shared" si="0"/>
        <v>0</v>
      </c>
    </row>
    <row r="17" spans="1:12">
      <c r="A17" s="18" t="s">
        <v>861</v>
      </c>
      <c r="B17" s="18">
        <f>COUNTIF(开发进度!$B$5:$B$300,A17)</f>
        <v>12</v>
      </c>
      <c r="C17" s="18">
        <f>COUNTIFS(开发进度!$B$5:$B$300,A17,开发进度!$J$5:$J$300,"已完成")</f>
        <v>12</v>
      </c>
      <c r="D17" s="18">
        <f>COUNTIFS(开发进度!$B$5:$B$300,A17,开发进度!$J$5:$J$300,"进行中")+COUNTIFS(开发进度!$B$5:$B$300,A17,开发进度!$J$5:$J$300,"待审核")</f>
        <v>0</v>
      </c>
      <c r="E17" s="18">
        <f>COUNTIFS(开发进度!$B$5:$B$300,A17,开发进度!$J$5:$J$300,"已阻塞")</f>
        <v>0</v>
      </c>
      <c r="F17" s="20">
        <f>IFERROR(AVERAGEIF(开发进度!$B$5:$B$300,A17,开发进度!$K$5:$K$300),0)</f>
        <v>1</v>
      </c>
      <c r="H17" s="18" t="s">
        <v>1556</v>
      </c>
      <c r="I17" s="18">
        <f>COUNTIF(测试进度!$C$5:$C$400,H17)</f>
        <v>22</v>
      </c>
      <c r="J17" s="18">
        <f>COUNTIFS(测试进度!$C$5:$C$400,H17,测试进度!$J$5:$J$400,"通过")</f>
        <v>0</v>
      </c>
      <c r="K17" s="18">
        <f>COUNTIFS(测试进度!$C$5:$C$400,H17,测试进度!$J$5:$J$400,"失败")+COUNTIFS(测试进度!$C$5:$C$400,H17,测试进度!$J$5:$J$400,"已阻塞")</f>
        <v>0</v>
      </c>
      <c r="L17" s="20">
        <f t="shared" si="0"/>
        <v>0</v>
      </c>
    </row>
    <row r="18" spans="1:12">
      <c r="A18" s="18" t="s">
        <v>416</v>
      </c>
      <c r="B18" s="18">
        <f>COUNTIF(开发进度!$B$5:$B$300,A18)</f>
        <v>13</v>
      </c>
      <c r="C18" s="18">
        <f>COUNTIFS(开发进度!$B$5:$B$300,A18,开发进度!$J$5:$J$300,"已完成")</f>
        <v>13</v>
      </c>
      <c r="D18" s="18">
        <f>COUNTIFS(开发进度!$B$5:$B$300,A18,开发进度!$J$5:$J$300,"进行中")+COUNTIFS(开发进度!$B$5:$B$300,A18,开发进度!$J$5:$J$300,"待审核")</f>
        <v>0</v>
      </c>
      <c r="E18" s="18">
        <f>COUNTIFS(开发进度!$B$5:$B$300,A18,开发进度!$J$5:$J$300,"已阻塞")</f>
        <v>0</v>
      </c>
      <c r="F18" s="20">
        <f>IFERROR(AVERAGEIF(开发进度!$B$5:$B$300,A18,开发进度!$K$5:$K$300),0)</f>
        <v>1</v>
      </c>
      <c r="H18" s="18" t="s">
        <v>1623</v>
      </c>
      <c r="I18" s="18">
        <f>COUNTIF(测试进度!$C$5:$C$400,H18)</f>
        <v>13</v>
      </c>
      <c r="J18" s="18">
        <f>COUNTIFS(测试进度!$C$5:$C$400,H18,测试进度!$J$5:$J$400,"通过")</f>
        <v>0</v>
      </c>
      <c r="K18" s="18">
        <f>COUNTIFS(测试进度!$C$5:$C$400,H18,测试进度!$J$5:$J$400,"失败")+COUNTIFS(测试进度!$C$5:$C$400,H18,测试进度!$J$5:$J$400,"已阻塞")</f>
        <v>0</v>
      </c>
      <c r="L18" s="20">
        <f t="shared" si="0"/>
        <v>0</v>
      </c>
    </row>
    <row r="19" spans="1:12">
      <c r="A19" s="18" t="s">
        <v>986</v>
      </c>
      <c r="B19" s="18">
        <f>COUNTIF(开发进度!$B$5:$B$300,A19)</f>
        <v>8</v>
      </c>
      <c r="C19" s="18">
        <f>COUNTIFS(开发进度!$B$5:$B$300,A19,开发进度!$J$5:$J$300,"已完成")</f>
        <v>8</v>
      </c>
      <c r="D19" s="18">
        <f>COUNTIFS(开发进度!$B$5:$B$300,A19,开发进度!$J$5:$J$300,"进行中")+COUNTIFS(开发进度!$B$5:$B$300,A19,开发进度!$J$5:$J$300,"待审核")</f>
        <v>0</v>
      </c>
      <c r="E19" s="18">
        <f>COUNTIFS(开发进度!$B$5:$B$300,A19,开发进度!$J$5:$J$300,"已阻塞")</f>
        <v>0</v>
      </c>
      <c r="F19" s="20">
        <f>IFERROR(AVERAGEIF(开发进度!$B$5:$B$300,A19,开发进度!$K$5:$K$300),0)</f>
        <v>1</v>
      </c>
      <c r="H19" s="18" t="s">
        <v>1665</v>
      </c>
      <c r="I19" s="18">
        <f>COUNTIF(测试进度!$C$5:$C$400,H19)</f>
        <v>33</v>
      </c>
      <c r="J19" s="18">
        <f>COUNTIFS(测试进度!$C$5:$C$400,H19,测试进度!$J$5:$J$400,"通过")</f>
        <v>0</v>
      </c>
      <c r="K19" s="18">
        <f>COUNTIFS(测试进度!$C$5:$C$400,H19,测试进度!$J$5:$J$400,"失败")+COUNTIFS(测试进度!$C$5:$C$400,H19,测试进度!$J$5:$J$400,"已阻塞")</f>
        <v>0</v>
      </c>
      <c r="L19" s="20">
        <f t="shared" si="0"/>
        <v>0</v>
      </c>
    </row>
    <row r="20" spans="1:12">
      <c r="A20" s="18" t="s">
        <v>1027</v>
      </c>
      <c r="B20" s="18">
        <f>COUNTIF(开发进度!$B$5:$B$300,A20)</f>
        <v>12</v>
      </c>
      <c r="C20" s="18">
        <f>COUNTIFS(开发进度!$B$5:$B$300,A20,开发进度!$J$5:$J$300,"已完成")</f>
        <v>12</v>
      </c>
      <c r="D20" s="18">
        <f>COUNTIFS(开发进度!$B$5:$B$300,A20,开发进度!$J$5:$J$300,"进行中")+COUNTIFS(开发进度!$B$5:$B$300,A20,开发进度!$J$5:$J$300,"待审核")</f>
        <v>0</v>
      </c>
      <c r="E20" s="18">
        <f>COUNTIFS(开发进度!$B$5:$B$300,A20,开发进度!$J$5:$J$300,"已阻塞")</f>
        <v>0</v>
      </c>
      <c r="F20" s="20">
        <f>IFERROR(AVERAGEIF(开发进度!$B$5:$B$300,A20,开发进度!$K$5:$K$300),0)</f>
        <v>1</v>
      </c>
      <c r="H20" s="18" t="s">
        <v>506</v>
      </c>
      <c r="I20" s="18">
        <f>COUNTIF(测试进度!$C$5:$C$400,H20)</f>
        <v>10</v>
      </c>
      <c r="J20" s="18">
        <f>COUNTIFS(测试进度!$C$5:$C$400,H20,测试进度!$J$5:$J$400,"通过")</f>
        <v>0</v>
      </c>
      <c r="K20" s="18">
        <f>COUNTIFS(测试进度!$C$5:$C$400,H20,测试进度!$J$5:$J$400,"失败")+COUNTIFS(测试进度!$C$5:$C$400,H20,测试进度!$J$5:$J$400,"已阻塞")</f>
        <v>0</v>
      </c>
      <c r="L20" s="20">
        <f t="shared" si="0"/>
        <v>0</v>
      </c>
    </row>
    <row r="21" spans="1:12">
      <c r="A21" s="18" t="s">
        <v>1090</v>
      </c>
      <c r="B21" s="18">
        <f>COUNTIF(开发进度!$B$5:$B$300,A21)</f>
        <v>8</v>
      </c>
      <c r="C21" s="18">
        <f>COUNTIFS(开发进度!$B$5:$B$300,A21,开发进度!$J$5:$J$300,"已完成")</f>
        <v>1</v>
      </c>
      <c r="D21" s="18">
        <f>COUNTIFS(开发进度!$B$5:$B$300,A21,开发进度!$J$5:$J$300,"进行中")+COUNTIFS(开发进度!$B$5:$B$300,A21,开发进度!$J$5:$J$300,"待审核")</f>
        <v>3</v>
      </c>
      <c r="E21" s="18">
        <f>COUNTIFS(开发进度!$B$5:$B$300,A21,开发进度!$J$5:$J$300,"已阻塞")</f>
        <v>0</v>
      </c>
      <c r="F21" s="20">
        <f>IFERROR(AVERAGEIF(开发进度!$B$5:$B$300,A21,开发进度!$K$5:$K$300),0)</f>
        <v>0.41249999999999998</v>
      </c>
      <c r="H21" s="18" t="s">
        <v>568</v>
      </c>
      <c r="I21" s="18">
        <f>COUNTIF(测试进度!$C$5:$C$400,H21)</f>
        <v>8</v>
      </c>
      <c r="J21" s="18">
        <f>COUNTIFS(测试进度!$C$5:$C$400,H21,测试进度!$J$5:$J$400,"通过")</f>
        <v>0</v>
      </c>
      <c r="K21" s="18">
        <f>COUNTIFS(测试进度!$C$5:$C$400,H21,测试进度!$J$5:$J$400,"失败")+COUNTIFS(测试进度!$C$5:$C$400,H21,测试进度!$J$5:$J$400,"已阻塞")</f>
        <v>0</v>
      </c>
      <c r="L21" s="20">
        <f t="shared" si="0"/>
        <v>0</v>
      </c>
    </row>
    <row r="22" spans="1:12">
      <c r="A22" s="18" t="s">
        <v>1131</v>
      </c>
      <c r="B22" s="18">
        <f>COUNTIF(开发进度!$B$5:$B$300,A22)</f>
        <v>10</v>
      </c>
      <c r="C22" s="18">
        <f>COUNTIFS(开发进度!$B$5:$B$300,A22,开发进度!$J$5:$J$300,"已完成")</f>
        <v>0</v>
      </c>
      <c r="D22" s="18">
        <f>COUNTIFS(开发进度!$B$5:$B$300,A22,开发进度!$J$5:$J$300,"进行中")+COUNTIFS(开发进度!$B$5:$B$300,A22,开发进度!$J$5:$J$300,"待审核")</f>
        <v>0</v>
      </c>
      <c r="E22" s="18">
        <f>COUNTIFS(开发进度!$B$5:$B$300,A22,开发进度!$J$5:$J$300,"已阻塞")</f>
        <v>0</v>
      </c>
      <c r="F22" s="20">
        <f>IFERROR(AVERAGEIF(开发进度!$B$5:$B$300,A22,开发进度!$K$5:$K$300),0)</f>
        <v>0</v>
      </c>
      <c r="H22" s="18" t="s">
        <v>1850</v>
      </c>
      <c r="I22" s="18">
        <f>COUNTIF(测试进度!$C$5:$C$400,H22)</f>
        <v>8</v>
      </c>
      <c r="J22" s="18">
        <f>COUNTIFS(测试进度!$C$5:$C$400,H22,测试进度!$J$5:$J$400,"通过")</f>
        <v>0</v>
      </c>
      <c r="K22" s="18">
        <f>COUNTIFS(测试进度!$C$5:$C$400,H22,测试进度!$J$5:$J$400,"失败")+COUNTIFS(测试进度!$C$5:$C$400,H22,测试进度!$J$5:$J$400,"已阻塞")</f>
        <v>0</v>
      </c>
      <c r="L22" s="20">
        <f t="shared" si="0"/>
        <v>0</v>
      </c>
    </row>
    <row r="23" spans="1:12">
      <c r="A23" s="18" t="s">
        <v>1179</v>
      </c>
      <c r="B23" s="18">
        <f>COUNTIF(开发进度!$B$5:$B$300,A23)</f>
        <v>10</v>
      </c>
      <c r="C23" s="18">
        <f>COUNTIFS(开发进度!$B$5:$B$300,A23,开发进度!$J$5:$J$300,"已完成")</f>
        <v>0</v>
      </c>
      <c r="D23" s="18">
        <f>COUNTIFS(开发进度!$B$5:$B$300,A23,开发进度!$J$5:$J$300,"进行中")+COUNTIFS(开发进度!$B$5:$B$300,A23,开发进度!$J$5:$J$300,"待审核")</f>
        <v>0</v>
      </c>
      <c r="E23" s="18">
        <f>COUNTIFS(开发进度!$B$5:$B$300,A23,开发进度!$J$5:$J$300,"已阻塞")</f>
        <v>0</v>
      </c>
      <c r="F23" s="20">
        <f>IFERROR(AVERAGEIF(开发进度!$B$5:$B$300,A23,开发进度!$K$5:$K$300),0)</f>
        <v>0</v>
      </c>
      <c r="H23" s="18" t="s">
        <v>1090</v>
      </c>
      <c r="I23" s="18">
        <f>COUNTIF(测试进度!$C$5:$C$400,H23)</f>
        <v>10</v>
      </c>
      <c r="J23" s="18">
        <f>COUNTIFS(测试进度!$C$5:$C$400,H23,测试进度!$J$5:$J$400,"通过")</f>
        <v>0</v>
      </c>
      <c r="K23" s="18">
        <f>COUNTIFS(测试进度!$C$5:$C$400,H23,测试进度!$J$5:$J$400,"失败")+COUNTIFS(测试进度!$C$5:$C$400,H23,测试进度!$J$5:$J$400,"已阻塞")</f>
        <v>0</v>
      </c>
      <c r="L23" s="20">
        <f t="shared" si="0"/>
        <v>0</v>
      </c>
    </row>
    <row r="24" spans="1:12">
      <c r="H24" s="18" t="s">
        <v>33</v>
      </c>
      <c r="I24" s="18">
        <f>COUNTIF(测试进度!$C$5:$C$400,H24)</f>
        <v>12</v>
      </c>
      <c r="J24" s="18">
        <f>COUNTIFS(测试进度!$C$5:$C$400,H24,测试进度!$J$5:$J$400,"通过")</f>
        <v>0</v>
      </c>
      <c r="K24" s="18">
        <f>COUNTIFS(测试进度!$C$5:$C$400,H24,测试进度!$J$5:$J$400,"失败")+COUNTIFS(测试进度!$C$5:$C$400,H24,测试进度!$J$5:$J$400,"已阻塞")</f>
        <v>0</v>
      </c>
      <c r="L24" s="20">
        <f t="shared" si="0"/>
        <v>0</v>
      </c>
    </row>
    <row r="26" spans="1:12" ht="6" customHeight="1">
      <c r="A26" s="47" t="s">
        <v>2467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7.5" customHeight="1">
      <c r="A27" s="22" t="s">
        <v>2468</v>
      </c>
      <c r="B27" s="22" t="s">
        <v>2469</v>
      </c>
      <c r="C27" s="22" t="s">
        <v>2470</v>
      </c>
      <c r="D27" s="22" t="s">
        <v>2471</v>
      </c>
      <c r="E27" s="22" t="s">
        <v>360</v>
      </c>
      <c r="F27" s="22"/>
      <c r="G27" s="22"/>
      <c r="H27" s="22" t="s">
        <v>2468</v>
      </c>
      <c r="I27" s="22" t="s">
        <v>2469</v>
      </c>
      <c r="J27" s="22" t="s">
        <v>2470</v>
      </c>
      <c r="K27" s="22" t="s">
        <v>2471</v>
      </c>
      <c r="L27" s="22" t="s">
        <v>360</v>
      </c>
    </row>
    <row r="28" spans="1:12" ht="25.5">
      <c r="A28" s="18" t="s">
        <v>2382</v>
      </c>
      <c r="B28" s="18" t="s">
        <v>2472</v>
      </c>
      <c r="C28" s="21" t="str">
        <f>IF(COUNTIFS(开发进度!$H$5:$H$300,"P0",开发进度!$I$5:$I$300,"是",开发进度!$J$5:$J$300,"&lt;&gt;已完成")=0,"通过","未通过")</f>
        <v>未通过</v>
      </c>
      <c r="D28" s="18" t="s">
        <v>461</v>
      </c>
      <c r="E28" s="18"/>
      <c r="F28" s="18"/>
      <c r="G28" s="18"/>
      <c r="H28" s="18" t="s">
        <v>2473</v>
      </c>
      <c r="I28" s="21" t="s">
        <v>2474</v>
      </c>
      <c r="J28" s="21" t="str">
        <f>IF(AND(INDEX(测试进度!$J$5:$J$400,MATCH("AUTH-001",测试进度!$A$5:$A$400,0))="通过",INDEX(测试进度!$J$5:$J$400,MATCH("ROOM-001",测试进度!$A$5:$A$400,0))="通过",INDEX(测试进度!$J$5:$J$400,MATCH("ROOM-003",测试进度!$A$5:$A$400,0))="通过"),"通过","未通过")</f>
        <v>未通过</v>
      </c>
      <c r="K28" s="18" t="s">
        <v>220</v>
      </c>
      <c r="L28" s="18"/>
    </row>
    <row r="29" spans="1:12" ht="25.5">
      <c r="A29" s="18" t="s">
        <v>2475</v>
      </c>
      <c r="B29" s="18" t="s">
        <v>2476</v>
      </c>
      <c r="C29" s="21" t="str">
        <f>IF(COUNTIFS(测试进度!$H$5:$H$400,"P0",测试进度!$I$5:$I$400,"是",测试进度!$J$5:$J$400,"&lt;&gt;通过")=0,"通过","未通过")</f>
        <v>未通过</v>
      </c>
      <c r="D29" s="18" t="s">
        <v>220</v>
      </c>
      <c r="E29" s="18"/>
      <c r="F29" s="18"/>
      <c r="G29" s="18"/>
      <c r="H29" s="18" t="s">
        <v>2477</v>
      </c>
      <c r="I29" s="21" t="s">
        <v>2478</v>
      </c>
      <c r="J29" s="21" t="str">
        <f>IF(AND(INDEX(测试进度!$J$5:$J$400,MATCH("R-002",测试进度!$A$5:$A$400,0))="通过",INDEX(测试进度!$J$5:$J$400,MATCH("R-008",测试进度!$A$5:$A$400,0))="通过",INDEX(测试进度!$J$5:$J$400,MATCH("R-009",测试进度!$A$5:$A$400,0))="通过"),"通过","未通过")</f>
        <v>未通过</v>
      </c>
      <c r="K29" s="18" t="s">
        <v>220</v>
      </c>
      <c r="L29" s="18"/>
    </row>
    <row r="30" spans="1:12" ht="25.5">
      <c r="A30" s="18" t="s">
        <v>2479</v>
      </c>
      <c r="B30" s="18" t="s">
        <v>2480</v>
      </c>
      <c r="C30" s="21" t="str">
        <f>IF(AND(INDEX(测试进度!$J$5:$J$400,MATCH("F-007",测试进度!$A$5:$A$400,0))="通过",INDEX(测试进度!$J$5:$J$400,MATCH("F-010",测试进度!$A$5:$A$400,0))="通过"),"通过","未通过")</f>
        <v>未通过</v>
      </c>
      <c r="D30" s="18" t="s">
        <v>220</v>
      </c>
      <c r="E30" s="18"/>
      <c r="F30" s="18"/>
      <c r="G30" s="18"/>
      <c r="H30" s="18" t="s">
        <v>2481</v>
      </c>
      <c r="I30" s="21" t="s">
        <v>2482</v>
      </c>
      <c r="J30" s="21" t="str">
        <f>IF(INDEX(测试进度!$J$5:$J$400,MATCH("DEP-009",测试进度!$A$5:$A$400,0))="通过","通过","未通过")</f>
        <v>未通过</v>
      </c>
      <c r="K30" s="18" t="s">
        <v>461</v>
      </c>
      <c r="L30" s="18"/>
    </row>
    <row r="31" spans="1:12" ht="25.5">
      <c r="A31" s="18" t="s">
        <v>2483</v>
      </c>
      <c r="B31" s="18" t="s">
        <v>2484</v>
      </c>
      <c r="C31" s="21" t="str">
        <f>IF(INDEX(模拟对局!$H$5:$H$100,MATCH("SIM-025",模拟对局!$A$5:$A$100,0))="通过","通过","未通过")</f>
        <v>未通过</v>
      </c>
      <c r="D31" s="18" t="s">
        <v>461</v>
      </c>
      <c r="E31" s="18"/>
      <c r="F31" s="18"/>
      <c r="G31" s="18"/>
      <c r="H31" s="18" t="s">
        <v>2485</v>
      </c>
      <c r="I31" s="21" t="s">
        <v>2486</v>
      </c>
      <c r="J31" s="21" t="str">
        <f>IF(INDEX(测试进度!$J$5:$J$400,MATCH("PAY-002",测试进度!$A$5:$A$400,0))="通过","通过","未通过")</f>
        <v>未通过</v>
      </c>
      <c r="K31" s="18" t="s">
        <v>627</v>
      </c>
      <c r="L31" s="18"/>
    </row>
  </sheetData>
  <mergeCells count="9">
    <mergeCell ref="A9:F9"/>
    <mergeCell ref="H9:L9"/>
    <mergeCell ref="A26:L26"/>
    <mergeCell ref="A1:L1"/>
    <mergeCell ref="A3:L3"/>
    <mergeCell ref="A5:C5"/>
    <mergeCell ref="D5:F5"/>
    <mergeCell ref="G5:I5"/>
    <mergeCell ref="J5:L5"/>
  </mergeCells>
  <phoneticPr fontId="22" type="noConversion"/>
  <conditionalFormatting sqref="C7">
    <cfRule type="dataBar" priority="1">
      <dataBar>
        <cfvo type="min"/>
        <cfvo type="max"/>
        <color rgb="FF7C3AED"/>
      </dataBar>
    </cfRule>
    <cfRule type="dataBar" priority="25">
      <dataBar>
        <cfvo type="min"/>
        <cfvo type="max"/>
        <color rgb="FF7C3AED"/>
      </dataBar>
    </cfRule>
    <cfRule type="dataBar" priority="31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{F29AAF64-2CD2-AA6E-8690-9D8663A1C509}</x14:id>
        </ext>
      </extLst>
    </cfRule>
  </conditionalFormatting>
  <conditionalFormatting sqref="C28:C31">
    <cfRule type="expression" dxfId="8" priority="21">
      <formula>C28="未通过"</formula>
    </cfRule>
    <cfRule type="expression" dxfId="7" priority="22">
      <formula>C28="通过"</formula>
    </cfRule>
  </conditionalFormatting>
  <conditionalFormatting sqref="F7">
    <cfRule type="dataBar" priority="2">
      <dataBar>
        <cfvo type="min"/>
        <cfvo type="max"/>
        <color rgb="FF7C3AED"/>
      </dataBar>
    </cfRule>
    <cfRule type="dataBar" priority="26">
      <dataBar>
        <cfvo type="min"/>
        <cfvo type="max"/>
        <color rgb="FF7C3AED"/>
      </dataBar>
    </cfRule>
    <cfRule type="dataBar" priority="32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{8AF16B13-C8EF-E404-F9D5-49E6E81F4AF8}</x14:id>
        </ext>
      </extLst>
    </cfRule>
  </conditionalFormatting>
  <conditionalFormatting sqref="F11:F23">
    <cfRule type="dataBar" priority="5">
      <dataBar>
        <cfvo type="min"/>
        <cfvo type="max"/>
        <color rgb="FF7C3AED"/>
      </dataBar>
    </cfRule>
    <cfRule type="dataBar" priority="29">
      <dataBar>
        <cfvo type="min"/>
        <cfvo type="max"/>
        <color rgb="FF7C3AED"/>
      </dataBar>
    </cfRule>
    <cfRule type="dataBar" priority="33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{2D79675E-9231-3FB1-5DA8-F93CE0CC1F84}</x14:id>
        </ext>
      </extLst>
    </cfRule>
  </conditionalFormatting>
  <conditionalFormatting sqref="I7">
    <cfRule type="dataBar" priority="3">
      <dataBar>
        <cfvo type="min"/>
        <cfvo type="max"/>
        <color rgb="FF7C3AED"/>
      </dataBar>
    </cfRule>
    <cfRule type="dataBar" priority="27">
      <dataBar>
        <cfvo type="min"/>
        <cfvo type="max"/>
        <color rgb="FF7C3AED"/>
      </dataBar>
    </cfRule>
    <cfRule type="dataBar" priority="34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{27967076-FB4B-4C29-EF83-B8B799C2F393}</x14:id>
        </ext>
      </extLst>
    </cfRule>
  </conditionalFormatting>
  <conditionalFormatting sqref="I28:I31">
    <cfRule type="expression" dxfId="6" priority="12">
      <formula>I28="通过"</formula>
    </cfRule>
    <cfRule type="expression" dxfId="5" priority="13">
      <formula>I28="执行中"</formula>
    </cfRule>
    <cfRule type="expression" dxfId="4" priority="14">
      <formula>I28="失败"</formula>
    </cfRule>
    <cfRule type="expression" dxfId="3" priority="15">
      <formula>I28="已阻塞"</formula>
    </cfRule>
    <cfRule type="expression" dxfId="2" priority="16">
      <formula>I28="未执行"</formula>
    </cfRule>
  </conditionalFormatting>
  <conditionalFormatting sqref="I28:J31">
    <cfRule type="expression" dxfId="1" priority="19">
      <formula>I28="未通过"</formula>
    </cfRule>
    <cfRule type="expression" dxfId="0" priority="20">
      <formula>I28="通过"</formula>
    </cfRule>
  </conditionalFormatting>
  <conditionalFormatting sqref="L7">
    <cfRule type="dataBar" priority="4">
      <dataBar>
        <cfvo type="min"/>
        <cfvo type="max"/>
        <color rgb="FF7C3AED"/>
      </dataBar>
    </cfRule>
    <cfRule type="dataBar" priority="28">
      <dataBar>
        <cfvo type="min"/>
        <cfvo type="max"/>
        <color rgb="FF7C3AED"/>
      </dataBar>
    </cfRule>
    <cfRule type="dataBar" priority="35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{4E923434-80D1-240F-396C-3A82C1831107}</x14:id>
        </ext>
      </extLst>
    </cfRule>
  </conditionalFormatting>
  <conditionalFormatting sqref="L11:L24">
    <cfRule type="dataBar" priority="6">
      <dataBar>
        <cfvo type="min"/>
        <cfvo type="max"/>
        <color rgb="FF06B6D4"/>
      </dataBar>
    </cfRule>
    <cfRule type="dataBar" priority="30">
      <dataBar>
        <cfvo type="min"/>
        <cfvo type="max"/>
        <color rgb="FF06B6D4"/>
      </dataBar>
    </cfRule>
    <cfRule type="dataBar" priority="36">
      <dataBar>
        <cfvo type="min"/>
        <cfvo type="max"/>
        <color rgb="FF06B6D4"/>
      </dataBar>
      <extLst>
        <ext xmlns:x14="http://schemas.microsoft.com/office/spreadsheetml/2009/9/main" uri="{B025F937-C7B1-47D3-B67F-A62EFF666E3E}">
          <x14:id>{C1574EAA-B838-8756-C51D-6B6D56EA723F}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9AAF64-2CD2-AA6E-8690-9D8663A1C509}">
            <x14:dataBar>
              <x14:cfvo type="min"/>
              <x14:cfvo type="max"/>
              <x14:negativeFillColor auto="1"/>
              <x14:axisColor auto="1"/>
            </x14:dataBar>
          </x14:cfRule>
          <xm:sqref>C7</xm:sqref>
        </x14:conditionalFormatting>
        <x14:conditionalFormatting xmlns:xm="http://schemas.microsoft.com/office/excel/2006/main">
          <x14:cfRule type="dataBar" id="{8AF16B13-C8EF-E404-F9D5-49E6E81F4AF8}">
            <x14:dataBar>
              <x14:cfvo type="min"/>
              <x14:cfvo type="max"/>
              <x14:negativeFillColor auto="1"/>
              <x14:axisColor auto="1"/>
            </x14:dataBar>
          </x14:cfRule>
          <xm:sqref>F7</xm:sqref>
        </x14:conditionalFormatting>
        <x14:conditionalFormatting xmlns:xm="http://schemas.microsoft.com/office/excel/2006/main">
          <x14:cfRule type="dataBar" id="{2D79675E-9231-3FB1-5DA8-F93CE0CC1F84}">
            <x14:dataBar>
              <x14:cfvo type="min"/>
              <x14:cfvo type="max"/>
              <x14:negativeFillColor auto="1"/>
              <x14:axisColor auto="1"/>
            </x14:dataBar>
          </x14:cfRule>
          <xm:sqref>F11:F23</xm:sqref>
        </x14:conditionalFormatting>
        <x14:conditionalFormatting xmlns:xm="http://schemas.microsoft.com/office/excel/2006/main">
          <x14:cfRule type="dataBar" id="{27967076-FB4B-4C29-EF83-B8B799C2F393}">
            <x14:dataBar>
              <x14:cfvo type="min"/>
              <x14:cfvo type="max"/>
              <x14:negativeFillColor auto="1"/>
              <x14:axisColor auto="1"/>
            </x14:dataBar>
          </x14:cfRule>
          <xm:sqref>I7</xm:sqref>
        </x14:conditionalFormatting>
        <x14:conditionalFormatting xmlns:xm="http://schemas.microsoft.com/office/excel/2006/main">
          <x14:cfRule type="dataBar" id="{4E923434-80D1-240F-396C-3A82C1831107}">
            <x14:dataBar>
              <x14:cfvo type="min"/>
              <x14:cfvo type="max"/>
              <x14:negativeFillColor auto="1"/>
              <x14:axisColor auto="1"/>
            </x14:dataBar>
          </x14:cfRule>
          <xm:sqref>L7</xm:sqref>
        </x14:conditionalFormatting>
        <x14:conditionalFormatting xmlns:xm="http://schemas.microsoft.com/office/excel/2006/main">
          <x14:cfRule type="dataBar" id="{C1574EAA-B838-8756-C51D-6B6D56EA723F}">
            <x14:dataBar>
              <x14:cfvo type="min"/>
              <x14:cfvo type="max"/>
              <x14:negativeFillColor auto="1"/>
              <x14:axisColor auto="1"/>
            </x14:dataBar>
          </x14:cfRule>
          <xm:sqref>L11:L24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总览</vt:lpstr>
      <vt:lpstr>7天任务</vt:lpstr>
      <vt:lpstr>账号与外部依赖</vt:lpstr>
      <vt:lpstr>上线验收</vt:lpstr>
      <vt:lpstr>开发进度</vt:lpstr>
      <vt:lpstr>测试进度</vt:lpstr>
      <vt:lpstr>模拟对局</vt:lpstr>
      <vt:lpstr>部署方案</vt:lpstr>
      <vt:lpstr>研发总览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3996897875@qq.com</cp:lastModifiedBy>
  <dcterms:modified xsi:type="dcterms:W3CDTF">2026-07-16T03:51:30Z</dcterms:modified>
</cp:coreProperties>
</file>